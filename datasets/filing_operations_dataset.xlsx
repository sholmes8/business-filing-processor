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091551b84a4b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ing_Operations_Data" sheetId="1" r:id="Rf83722ce88d14cca"/>
    <x:sheet xmlns:r="http://schemas.openxmlformats.org/officeDocument/2006/relationships" name="Dashboard_Input" sheetId="2" r:id="R5ee70d2ca54341f8"/>
    <x:sheet xmlns:r="http://schemas.openxmlformats.org/officeDocument/2006/relationships" name="Data_Dictionary" sheetId="3" r:id="Rc6771c5a66d14edc"/>
    <x:sheet xmlns:r="http://schemas.openxmlformats.org/officeDocument/2006/relationships" name="Sources" sheetId="4" r:id="R3f4e2bb710f14a56"/>
    <x:sheet xmlns:r="http://schemas.openxmlformats.org/officeDocument/2006/relationships" name="PowerBI_Notes" sheetId="5" r:id="R1278b970891c4b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6">
    <x:font>
      <x:sz val="11"/>
      <x:name val="Carlito"/>
    </x:font>
    <x:font>
      <x:b/>
      <x:sz val="11"/>
      <x:color rgb="D4AF37"/>
      <x:name val="Carlito"/>
    </x:font>
    <x:font>
      <x:b/>
      <x:sz val="11"/>
      <x:color rgb="D4AF37"/>
      <x:name val="Aptos"/>
    </x:font>
    <x:font>
      <x:b/>
      <x:sz val="16"/>
      <x:color rgb="D4AF37"/>
      <x:name val="Carlito"/>
    </x:font>
    <x:font>
      <x:b/>
      <x:sz val="11"/>
      <x:name val="Carlito"/>
    </x:font>
    <x:font>
      <x:b/>
      <x:sz val="14"/>
      <x:color rgb="D4AF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00000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left"/>
    </x:xf>
    <x:xf numFmtId="201" fontId="0" fillId="0" borderId="0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 applyAlignment="1">
      <x:alignment horizontal="left"/>
    </x:xf>
    <x:xf numFmtId="201" fontId="0" fillId="0" borderId="1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ont>
        <x:color rgb="000000"/>
      </x:font>
      <x:fill>
        <x:patternFill patternType="solid">
          <x:bgColor rgb="EFEFEF"/>
        </x:patternFill>
      </x:fill>
    </x:dxf>
    <x:dxf>
      <x:font>
        <x:color rgb="000000"/>
      </x:font>
      <x:fill>
        <x:patternFill patternType="solid">
          <x:bgColor rgb="F7E7A1"/>
        </x:patternFill>
      </x:fill>
    </x:dxf>
    <x:dxf>
      <x:font>
        <x:color rgb="666666"/>
      </x:font>
      <x:fill>
        <x:patternFill patternType="solid">
          <x:bgColor rgb="FFFFFF"/>
        </x:patternFill>
      </x:fill>
    </x:dxf>
    <x:dxf>
      <x:font>
        <x:color rgb="000000"/>
      </x:font>
      <x:fill>
        <x:patternFill patternType="solid">
          <x:bgColor rgb="D9D9D9"/>
        </x:patternFill>
      </x:fill>
    </x:dxf>
    <x:dxf>
      <x:font>
        <x:color rgb="000000"/>
      </x:font>
      <x:fill>
        <x:patternFill patternType="solid">
          <x:bgColor rgb="D9D9D9"/>
        </x:patternFill>
      </x:fill>
    </x:dxf>
    <x:dxf>
      <x:font>
        <x:color rgb="000000"/>
      </x:font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8a2f54b4d1465e" /><Relationship Type="http://schemas.openxmlformats.org/officeDocument/2006/relationships/theme" Target="/xl/theme/theme1.xml" Id="Rf6801874084441db" /><Relationship Type="http://schemas.openxmlformats.org/officeDocument/2006/relationships/sharedStrings" Target="/xl/sharedStrings.xml" Id="R90e72842f4584669" /><Relationship Type="http://schemas.openxmlformats.org/officeDocument/2006/relationships/worksheet" Target="/xl/worksheets/sheet1.xml" Id="Rf83722ce88d14cca" /><Relationship Type="http://schemas.openxmlformats.org/officeDocument/2006/relationships/worksheet" Target="/xl/worksheets/sheet2.xml" Id="R5ee70d2ca54341f8" /><Relationship Type="http://schemas.openxmlformats.org/officeDocument/2006/relationships/worksheet" Target="/xl/worksheets/sheet3.xml" Id="Rc6771c5a66d14edc" /><Relationship Type="http://schemas.openxmlformats.org/officeDocument/2006/relationships/worksheet" Target="/xl/worksheets/sheet4.xml" Id="R3f4e2bb710f14a56" /><Relationship Type="http://schemas.openxmlformats.org/officeDocument/2006/relationships/worksheet" Target="/xl/worksheets/sheet5.xml" Id="R1278b970891c4bd3" /></Relationships>
</file>

<file path=xl/tables/table1.xml><?xml version="1.0" encoding="utf-8"?>
<x:table xmlns:x="http://schemas.openxmlformats.org/spreadsheetml/2006/main" id="1" name="FilingOperationsTable" displayName="FilingOperationsTable" ref="A1:P401" headerRowCount="1">
  <x:tableColumns count="16">
    <x:tableColumn id="1" name="FilingID"/>
    <x:tableColumn id="2" name="EntityName"/>
    <x:tableColumn id="3" name="EntityType"/>
    <x:tableColumn id="4" name="State"/>
    <x:tableColumn id="5" name="FilingType"/>
    <x:tableColumn id="6" name="SubmissionMethod"/>
    <x:tableColumn id="7" name="ProcessingTeam"/>
    <x:tableColumn id="8" name="Status"/>
    <x:tableColumn id="9" name="ProcessingDays"/>
    <x:tableColumn id="10" name="SLADays"/>
    <x:tableColumn id="11" name="SLAMet"/>
    <x:tableColumn id="12" name="RejectionReason"/>
    <x:tableColumn id="13" name="FilingDate"/>
    <x:tableColumn id="14" name="CompletionDate"/>
    <x:tableColumn id="15" name="RushEligible"/>
    <x:tableColumn id="16" name="PriorityLeve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49e8a50062454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0" hidden="0" customWidth="1"/>
    <x:col min="4" max="4" width="18" hidden="0" customWidth="1"/>
    <x:col min="5" max="5" width="30" hidden="0" customWidth="1"/>
    <x:col min="6" max="6" width="18" hidden="0" customWidth="1"/>
    <x:col min="7" max="7" width="28" hidden="0" customWidth="1"/>
    <x:col min="8" max="8" width="14" hidden="0" customWidth="1"/>
    <x:col min="9" max="9" width="15" hidden="0" customWidth="1"/>
    <x:col min="10" max="10" width="12" hidden="0" customWidth="1"/>
    <x:col min="11" max="11" width="12" hidden="0" customWidth="1"/>
    <x:col min="12" max="12" width="30" hidden="0" customWidth="1"/>
    <x:col min="13" max="13" width="14" hidden="0" customWidth="1"/>
    <x:col min="14" max="14" width="16" hidden="0" customWidth="1"/>
    <x:col min="15" max="15" width="14" hidden="0" customWidth="1"/>
    <x:col min="16" max="16" width="14" hidden="0" customWidth="1"/>
  </x:cols>
  <x:sheetData>
    <x:row r="1" ht="34" customHeight="1">
      <x:c r="A1" s="14" t="str">
        <x:v>FilingID</x:v>
      </x:c>
      <x:c r="B1" s="14" t="str">
        <x:v>EntityName</x:v>
      </x:c>
      <x:c r="C1" s="14" t="str">
        <x:v>EntityType</x:v>
      </x:c>
      <x:c r="D1" s="14" t="str">
        <x:v>State</x:v>
      </x:c>
      <x:c r="E1" s="14" t="str">
        <x:v>FilingType</x:v>
      </x:c>
      <x:c r="F1" s="14" t="str">
        <x:v>SubmissionMethod</x:v>
      </x:c>
      <x:c r="G1" s="14" t="str">
        <x:v>ProcessingTeam</x:v>
      </x:c>
      <x:c r="H1" s="14" t="str">
        <x:v>Status</x:v>
      </x:c>
      <x:c r="I1" s="14" t="str">
        <x:v>ProcessingDays</x:v>
      </x:c>
      <x:c r="J1" s="14" t="str">
        <x:v>SLADays</x:v>
      </x:c>
      <x:c r="K1" s="14" t="str">
        <x:v>SLAMet</x:v>
      </x:c>
      <x:c r="L1" s="14" t="str">
        <x:v>RejectionReason</x:v>
      </x:c>
      <x:c r="M1" s="14" t="str">
        <x:v>FilingDate</x:v>
      </x:c>
      <x:c r="N1" s="14" t="str">
        <x:v>CompletionDate</x:v>
      </x:c>
      <x:c r="O1" s="14" t="str">
        <x:v>RushEligible</x:v>
      </x:c>
      <x:c r="P1" s="14" t="str">
        <x:v>PriorityLevel</x:v>
      </x:c>
    </x:row>
    <x:row r="2">
      <x:c r="A2" t="str">
        <x:v>FIL-20260001</x:v>
      </x:c>
      <x:c r="B2" t="str">
        <x:v>Legacy Analytics Corp.</x:v>
      </x:c>
      <x:c r="C2" t="str">
        <x:v>Profit Corporation</x:v>
      </x:c>
      <x:c r="D2" t="str">
        <x:v>Florida</x:v>
      </x:c>
      <x:c r="E2" t="str">
        <x:v>Foreign Corporation Qualification</x:v>
      </x:c>
      <x:c r="F2" t="str">
        <x:v>OTC</x:v>
      </x:c>
      <x:c r="G2" t="str">
        <x:v>Florida OTC Fulfillment</x:v>
      </x:c>
      <x:c r="H2" t="str">
        <x:v>Completed</x:v>
      </x:c>
      <x:c r="I2" t="n">
        <x:v>2</x:v>
      </x:c>
      <x:c r="J2" t="n">
        <x:v>3</x:v>
      </x:c>
      <x:c r="K2" t="str">
        <x:f>IF(OR(H2="Pending",H2="Processing"),"Open",IF(I2&lt;=J2,"Yes","No"))</x:f>
        <x:v>Yes</x:v>
      </x:c>
      <x:c r="L2" t="str"/>
      <x:c r="M2" s="12" t="n">
        <x:v>46176</x:v>
      </x:c>
      <x:c r="N2" s="12" t="n">
        <x:v>46178</x:v>
      </x:c>
      <x:c r="O2" t="str">
        <x:v>No</x:v>
      </x:c>
      <x:c r="P2" t="str">
        <x:v>Standard</x:v>
      </x:c>
    </x:row>
    <x:row r="3">
      <x:c r="A3" t="str">
        <x:v>FIL-20260002</x:v>
      </x:c>
      <x:c r="B3" t="str">
        <x:v>Oakmont Analytics Corp.</x:v>
      </x:c>
      <x:c r="C3" t="str">
        <x:v>Profit Corporation</x:v>
      </x:c>
      <x:c r="D3" t="str">
        <x:v>California</x:v>
      </x:c>
      <x:c r="E3" t="str">
        <x:v>Corporation Amendment</x:v>
      </x:c>
      <x:c r="F3" t="str">
        <x:v>Mail</x:v>
      </x:c>
      <x:c r="G3" t="str">
        <x:v>West Coast Processing Team</x:v>
      </x:c>
      <x:c r="H3" t="str">
        <x:v>Completed</x:v>
      </x:c>
      <x:c r="I3" t="n">
        <x:v>8</x:v>
      </x:c>
      <x:c r="J3" t="n">
        <x:v>7</x:v>
      </x:c>
      <x:c r="K3" t="str">
        <x:f>IF(OR(H3="Pending",H3="Processing"),"Open",IF(I3&lt;=J3,"Yes","No"))</x:f>
        <x:v>No</x:v>
      </x:c>
      <x:c r="L3" t="str"/>
      <x:c r="M3" s="12" t="n">
        <x:v>46088</x:v>
      </x:c>
      <x:c r="N3" s="12" t="n">
        <x:v>46096</x:v>
      </x:c>
      <x:c r="O3" t="str">
        <x:v>No</x:v>
      </x:c>
      <x:c r="P3" t="str">
        <x:v>Standard</x:v>
      </x:c>
    </x:row>
    <x:row r="4">
      <x:c r="A4" t="str">
        <x:v>FIL-20260003</x:v>
      </x:c>
      <x:c r="B4" t="str">
        <x:v>Oakmont Consulting LLC</x:v>
      </x:c>
      <x:c r="C4" t="str">
        <x:v>LLC</x:v>
      </x:c>
      <x:c r="D4" t="str">
        <x:v>North Carolina</x:v>
      </x:c>
      <x:c r="E4" t="str">
        <x:v>LLC Amendment</x:v>
      </x:c>
      <x:c r="F4" t="str">
        <x:v>Mail</x:v>
      </x:c>
      <x:c r="G4" t="str">
        <x:v>North Carolina Processing Team</x:v>
      </x:c>
      <x:c r="H4" t="str">
        <x:v>Completed</x:v>
      </x:c>
      <x:c r="I4" t="n">
        <x:v>1</x:v>
      </x:c>
      <x:c r="J4" t="n">
        <x:v>6</x:v>
      </x:c>
      <x:c r="K4" t="str">
        <x:f>IF(OR(H4="Pending",H4="Processing"),"Open",IF(I4&lt;=J4,"Yes","No"))</x:f>
        <x:v>Yes</x:v>
      </x:c>
      <x:c r="L4" t="str"/>
      <x:c r="M4" s="12" t="n">
        <x:v>46078</x:v>
      </x:c>
      <x:c r="N4" s="12" t="n">
        <x:v>46079</x:v>
      </x:c>
      <x:c r="O4" t="str">
        <x:v>No</x:v>
      </x:c>
      <x:c r="P4" t="str">
        <x:v>Standard</x:v>
      </x:c>
    </x:row>
    <x:row r="5">
      <x:c r="A5" t="str">
        <x:v>FIL-20260004</x:v>
      </x:c>
      <x:c r="B5" t="str">
        <x:v>First State Compliance Corporation</x:v>
      </x:c>
      <x:c r="C5" t="str">
        <x:v>Profit Corporation</x:v>
      </x:c>
      <x:c r="D5" t="str">
        <x:v>Florida</x:v>
      </x:c>
      <x:c r="E5" t="str">
        <x:v>Corporation Dissolution</x:v>
      </x:c>
      <x:c r="F5" t="str">
        <x:v>OTC</x:v>
      </x:c>
      <x:c r="G5" t="str">
        <x:v>Florida OTC Fulfillment</x:v>
      </x:c>
      <x:c r="H5" t="str">
        <x:v>Processing</x:v>
      </x:c>
      <x:c r="I5" t="n">
        <x:v>2</x:v>
      </x:c>
      <x:c r="J5" t="n">
        <x:v>3</x:v>
      </x:c>
      <x:c r="K5" t="str">
        <x:f>IF(OR(H5="Pending",H5="Processing"),"Open",IF(I5&lt;=J5,"Yes","No"))</x:f>
        <x:v>Open</x:v>
      </x:c>
      <x:c r="L5" t="str"/>
      <x:c r="M5" s="12" t="n">
        <x:v>46044</x:v>
      </x:c>
      <x:c r="N5" s="12"/>
      <x:c r="O5" t="str">
        <x:v>No</x:v>
      </x:c>
      <x:c r="P5" t="str">
        <x:v>Standard</x:v>
      </x:c>
    </x:row>
    <x:row r="6">
      <x:c r="A6" t="str">
        <x:v>FIL-20260005</x:v>
      </x:c>
      <x:c r="B6" t="str">
        <x:v>Golden Coast Management Inc.</x:v>
      </x:c>
      <x:c r="C6" t="str">
        <x:v>Profit Corporation</x:v>
      </x:c>
      <x:c r="D6" t="str">
        <x:v>Illinois</x:v>
      </x:c>
      <x:c r="E6" t="str">
        <x:v>Corporation Amendment</x:v>
      </x:c>
      <x:c r="F6" t="str">
        <x:v>Online</x:v>
      </x:c>
      <x:c r="G6" t="str">
        <x:v>Illinois Online Fulfillment</x:v>
      </x:c>
      <x:c r="H6" t="str">
        <x:v>Completed</x:v>
      </x:c>
      <x:c r="I6" t="n">
        <x:v>8</x:v>
      </x:c>
      <x:c r="J6" t="n">
        <x:v>4</x:v>
      </x:c>
      <x:c r="K6" t="str">
        <x:f>IF(OR(H6="Pending",H6="Processing"),"Open",IF(I6&lt;=J6,"Yes","No"))</x:f>
        <x:v>No</x:v>
      </x:c>
      <x:c r="L6" t="str"/>
      <x:c r="M6" s="12" t="n">
        <x:v>46114</x:v>
      </x:c>
      <x:c r="N6" s="12" t="n">
        <x:v>46122</x:v>
      </x:c>
      <x:c r="O6" t="str">
        <x:v>Yes</x:v>
      </x:c>
      <x:c r="P6" t="str">
        <x:v>High</x:v>
      </x:c>
    </x:row>
    <x:row r="7">
      <x:c r="A7" t="str">
        <x:v>FIL-20260006</x:v>
      </x:c>
      <x:c r="B7" t="str">
        <x:v>Magnolia Studios</x:v>
      </x:c>
      <x:c r="C7" t="str">
        <x:v>Fictitious Name</x:v>
      </x:c>
      <x:c r="D7" t="str">
        <x:v>Illinois</x:v>
      </x:c>
      <x:c r="E7" t="str">
        <x:v>Fictitious Name Registration</x:v>
      </x:c>
      <x:c r="F7" t="str">
        <x:v>Expedited</x:v>
      </x:c>
      <x:c r="G7" t="str">
        <x:v>Illinois Fulfillment Team</x:v>
      </x:c>
      <x:c r="H7" t="str">
        <x:v>Rejected</x:v>
      </x:c>
      <x:c r="I7" t="n">
        <x:v>2</x:v>
      </x:c>
      <x:c r="J7" t="n">
        <x:v>2</x:v>
      </x:c>
      <x:c r="K7" t="str">
        <x:f>IF(OR(H7="Pending",H7="Processing"),"Open",IF(I7&lt;=J7,"Yes","No"))</x:f>
        <x:v>Yes</x:v>
      </x:c>
      <x:c r="L7" t="str">
        <x:v>Missing Signature</x:v>
      </x:c>
      <x:c r="M7" s="12" t="n">
        <x:v>46076</x:v>
      </x:c>
      <x:c r="N7" s="12"/>
      <x:c r="O7" t="str">
        <x:v>Yes</x:v>
      </x:c>
      <x:c r="P7" t="str">
        <x:v>High</x:v>
      </x:c>
    </x:row>
    <x:row r="8">
      <x:c r="A8" t="str">
        <x:v>FIL-20260007</x:v>
      </x:c>
      <x:c r="B8" t="str">
        <x:v>Evergreen Solutions Corp.</x:v>
      </x:c>
      <x:c r="C8" t="str">
        <x:v>Profit Corporation</x:v>
      </x:c>
      <x:c r="D8" t="str">
        <x:v>California</x:v>
      </x:c>
      <x:c r="E8" t="str">
        <x:v>Foreign Corporation Qualification</x:v>
      </x:c>
      <x:c r="F8" t="str">
        <x:v>Mail</x:v>
      </x:c>
      <x:c r="G8" t="str">
        <x:v>West Coast Processing Team</x:v>
      </x:c>
      <x:c r="H8" t="str">
        <x:v>Completed</x:v>
      </x:c>
      <x:c r="I8" t="n">
        <x:v>11</x:v>
      </x:c>
      <x:c r="J8" t="n">
        <x:v>7</x:v>
      </x:c>
      <x:c r="K8" t="str">
        <x:f>IF(OR(H8="Pending",H8="Processing"),"Open",IF(I8&lt;=J8,"Yes","No"))</x:f>
        <x:v>No</x:v>
      </x:c>
      <x:c r="L8" t="str"/>
      <x:c r="M8" s="12" t="n">
        <x:v>46081</x:v>
      </x:c>
      <x:c r="N8" s="12" t="n">
        <x:v>46092</x:v>
      </x:c>
      <x:c r="O8" t="str">
        <x:v>No</x:v>
      </x:c>
      <x:c r="P8" t="str">
        <x:v>Standard</x:v>
      </x:c>
    </x:row>
    <x:row r="9">
      <x:c r="A9" t="str">
        <x:v>FIL-20260008</x:v>
      </x:c>
      <x:c r="B9" t="str">
        <x:v>Liberty Analytics Corporation</x:v>
      </x:c>
      <x:c r="C9" t="str">
        <x:v>Profit Corporation</x:v>
      </x:c>
      <x:c r="D9" t="str">
        <x:v>New York</x:v>
      </x:c>
      <x:c r="E9" t="str">
        <x:v>Profit Corporation Formation</x:v>
      </x:c>
      <x:c r="F9" t="str">
        <x:v>Online</x:v>
      </x:c>
      <x:c r="G9" t="str">
        <x:v>Northeast Processing Team</x:v>
      </x:c>
      <x:c r="H9" t="str">
        <x:v>Completed</x:v>
      </x:c>
      <x:c r="I9" t="n">
        <x:v>2</x:v>
      </x:c>
      <x:c r="J9" t="n">
        <x:v>5</x:v>
      </x:c>
      <x:c r="K9" t="str">
        <x:f>IF(OR(H9="Pending",H9="Processing"),"Open",IF(I9&lt;=J9,"Yes","No"))</x:f>
        <x:v>Yes</x:v>
      </x:c>
      <x:c r="L9" t="str"/>
      <x:c r="M9" s="12" t="n">
        <x:v>46132</x:v>
      </x:c>
      <x:c r="N9" s="12" t="n">
        <x:v>46134</x:v>
      </x:c>
      <x:c r="O9" t="str">
        <x:v>Yes</x:v>
      </x:c>
      <x:c r="P9" t="str">
        <x:v>High</x:v>
      </x:c>
    </x:row>
    <x:row r="10">
      <x:c r="A10" t="str">
        <x:v>FIL-20260009</x:v>
      </x:c>
      <x:c r="B10" t="str">
        <x:v>Metro Healthcare Foundation Inc.</x:v>
      </x:c>
      <x:c r="C10" t="str">
        <x:v>Nonprofit Corporation</x:v>
      </x:c>
      <x:c r="D10" t="str">
        <x:v>California</x:v>
      </x:c>
      <x:c r="E10" t="str">
        <x:v>Merger Filing</x:v>
      </x:c>
      <x:c r="F10" t="str">
        <x:v>Mail</x:v>
      </x:c>
      <x:c r="G10" t="str">
        <x:v>West Coast Processing Team</x:v>
      </x:c>
      <x:c r="H10" t="str">
        <x:v>Completed</x:v>
      </x:c>
      <x:c r="I10" t="n">
        <x:v>5</x:v>
      </x:c>
      <x:c r="J10" t="n">
        <x:v>7</x:v>
      </x:c>
      <x:c r="K10" t="str">
        <x:f>IF(OR(H10="Pending",H10="Processing"),"Open",IF(I10&lt;=J10,"Yes","No"))</x:f>
        <x:v>Yes</x:v>
      </x:c>
      <x:c r="L10" t="str"/>
      <x:c r="M10" s="12" t="n">
        <x:v>46199</x:v>
      </x:c>
      <x:c r="N10" s="12" t="n">
        <x:v>46204</x:v>
      </x:c>
      <x:c r="O10" t="str">
        <x:v>No</x:v>
      </x:c>
      <x:c r="P10" t="str">
        <x:v>Standard</x:v>
      </x:c>
    </x:row>
    <x:row r="11">
      <x:c r="A11" t="str">
        <x:v>FIL-20260010</x:v>
      </x:c>
      <x:c r="B11" t="str">
        <x:v>Pioneer Compliance LP</x:v>
      </x:c>
      <x:c r="C11" t="str">
        <x:v>LP</x:v>
      </x:c>
      <x:c r="D11" t="str">
        <x:v>Florida</x:v>
      </x:c>
      <x:c r="E11" t="str">
        <x:v>Limited Partnership Formation</x:v>
      </x:c>
      <x:c r="F11" t="str">
        <x:v>Online</x:v>
      </x:c>
      <x:c r="G11" t="str">
        <x:v>Florida Online Fulfillment</x:v>
      </x:c>
      <x:c r="H11" t="str">
        <x:v>Completed</x:v>
      </x:c>
      <x:c r="I11" t="n">
        <x:v>6</x:v>
      </x:c>
      <x:c r="J11" t="n">
        <x:v>3</x:v>
      </x:c>
      <x:c r="K11" t="str">
        <x:f>IF(OR(H11="Pending",H11="Processing"),"Open",IF(I11&lt;=J11,"Yes","No"))</x:f>
        <x:v>No</x:v>
      </x:c>
      <x:c r="L11" t="str"/>
      <x:c r="M11" s="12" t="n">
        <x:v>46190</x:v>
      </x:c>
      <x:c r="N11" s="12" t="n">
        <x:v>46196</x:v>
      </x:c>
      <x:c r="O11" t="str">
        <x:v>No</x:v>
      </x:c>
      <x:c r="P11" t="str">
        <x:v>High</x:v>
      </x:c>
    </x:row>
    <x:row r="12">
      <x:c r="A12" t="str">
        <x:v>FIL-20260011</x:v>
      </x:c>
      <x:c r="B12" t="str">
        <x:v>Harbor Logistics L.P.</x:v>
      </x:c>
      <x:c r="C12" t="str">
        <x:v>LP</x:v>
      </x:c>
      <x:c r="D12" t="str">
        <x:v>Maryland</x:v>
      </x:c>
      <x:c r="E12" t="str">
        <x:v>Limited Partnership Formation</x:v>
      </x:c>
      <x:c r="F12" t="str">
        <x:v>Mail</x:v>
      </x:c>
      <x:c r="G12" t="str">
        <x:v>Maryland Processing Team</x:v>
      </x:c>
      <x:c r="H12" t="str">
        <x:v>Completed</x:v>
      </x:c>
      <x:c r="I12" t="n">
        <x:v>9</x:v>
      </x:c>
      <x:c r="J12" t="n">
        <x:v>6</x:v>
      </x:c>
      <x:c r="K12" t="str">
        <x:f>IF(OR(H12="Pending",H12="Processing"),"Open",IF(I12&lt;=J12,"Yes","No"))</x:f>
        <x:v>No</x:v>
      </x:c>
      <x:c r="L12" t="str"/>
      <x:c r="M12" s="12" t="n">
        <x:v>46078</x:v>
      </x:c>
      <x:c r="N12" s="12" t="n">
        <x:v>46087</x:v>
      </x:c>
      <x:c r="O12" t="str">
        <x:v>No</x:v>
      </x:c>
      <x:c r="P12" t="str">
        <x:v>Standard</x:v>
      </x:c>
    </x:row>
    <x:row r="13">
      <x:c r="A13" t="str">
        <x:v>FIL-20260012</x:v>
      </x:c>
      <x:c r="B13" t="str">
        <x:v>Liberty Compliance</x:v>
      </x:c>
      <x:c r="C13" t="str">
        <x:v>Fictitious Name</x:v>
      </x:c>
      <x:c r="D13" t="str">
        <x:v>Georgia</x:v>
      </x:c>
      <x:c r="E13" t="str">
        <x:v>Fictitious Name Renewal</x:v>
      </x:c>
      <x:c r="F13" t="str">
        <x:v>Online</x:v>
      </x:c>
      <x:c r="G13" t="str">
        <x:v>Southeast Processing Team</x:v>
      </x:c>
      <x:c r="H13" t="str">
        <x:v>Pending</x:v>
      </x:c>
      <x:c r="I13" t="n">
        <x:v>3</x:v>
      </x:c>
      <x:c r="J13" t="n">
        <x:v>4</x:v>
      </x:c>
      <x:c r="K13" t="str">
        <x:f>IF(OR(H13="Pending",H13="Processing"),"Open",IF(I13&lt;=J13,"Yes","No"))</x:f>
        <x:v>Open</x:v>
      </x:c>
      <x:c r="L13" t="str"/>
      <x:c r="M13" s="12" t="n">
        <x:v>46193</x:v>
      </x:c>
      <x:c r="N13" s="12"/>
      <x:c r="O13" t="str">
        <x:v>No</x:v>
      </x:c>
      <x:c r="P13" t="str">
        <x:v>Standard</x:v>
      </x:c>
    </x:row>
    <x:row r="14">
      <x:c r="A14" t="str">
        <x:v>FIL-20260013</x:v>
      </x:c>
      <x:c r="B14" t="str">
        <x:v>Atlantic Advisors LLC</x:v>
      </x:c>
      <x:c r="C14" t="str">
        <x:v>LLC</x:v>
      </x:c>
      <x:c r="D14" t="str">
        <x:v>New York</x:v>
      </x:c>
      <x:c r="E14" t="str">
        <x:v>LLC Amendment</x:v>
      </x:c>
      <x:c r="F14" t="str">
        <x:v>Online</x:v>
      </x:c>
      <x:c r="G14" t="str">
        <x:v>Northeast Processing Team</x:v>
      </x:c>
      <x:c r="H14" t="str">
        <x:v>Completed</x:v>
      </x:c>
      <x:c r="I14" t="n">
        <x:v>5</x:v>
      </x:c>
      <x:c r="J14" t="n">
        <x:v>5</x:v>
      </x:c>
      <x:c r="K14" t="str">
        <x:f>IF(OR(H14="Pending",H14="Processing"),"Open",IF(I14&lt;=J14,"Yes","No"))</x:f>
        <x:v>Yes</x:v>
      </x:c>
      <x:c r="L14" t="str"/>
      <x:c r="M14" s="12" t="n">
        <x:v>46136</x:v>
      </x:c>
      <x:c r="N14" s="12" t="n">
        <x:v>46141</x:v>
      </x:c>
      <x:c r="O14" t="str">
        <x:v>Yes</x:v>
      </x:c>
      <x:c r="P14" t="str">
        <x:v>High</x:v>
      </x:c>
    </x:row>
    <x:row r="15">
      <x:c r="A15" t="str">
        <x:v>FIL-20260014</x:v>
      </x:c>
      <x:c r="B15" t="str">
        <x:v>Atlantic Consulting Inc.</x:v>
      </x:c>
      <x:c r="C15" t="str">
        <x:v>Profit Corporation</x:v>
      </x:c>
      <x:c r="D15" t="str">
        <x:v>Florida</x:v>
      </x:c>
      <x:c r="E15" t="str">
        <x:v>Foreign Corporation Qualification</x:v>
      </x:c>
      <x:c r="F15" t="str">
        <x:v>Online</x:v>
      </x:c>
      <x:c r="G15" t="str">
        <x:v>Florida Online Fulfillment</x:v>
      </x:c>
      <x:c r="H15" t="str">
        <x:v>Processing</x:v>
      </x:c>
      <x:c r="I15" t="n">
        <x:v>2</x:v>
      </x:c>
      <x:c r="J15" t="n">
        <x:v>3</x:v>
      </x:c>
      <x:c r="K15" t="str">
        <x:f>IF(OR(H15="Pending",H15="Processing"),"Open",IF(I15&lt;=J15,"Yes","No"))</x:f>
        <x:v>Open</x:v>
      </x:c>
      <x:c r="L15" t="str"/>
      <x:c r="M15" s="12" t="n">
        <x:v>46031</x:v>
      </x:c>
      <x:c r="N15" s="12"/>
      <x:c r="O15" t="str">
        <x:v>No</x:v>
      </x:c>
      <x:c r="P15" t="str">
        <x:v>Standard</x:v>
      </x:c>
    </x:row>
    <x:row r="16">
      <x:c r="A16" t="str">
        <x:v>FIL-20260015</x:v>
      </x:c>
      <x:c r="B16" t="str">
        <x:v>NorthStar Analytics Institute Inc.</x:v>
      </x:c>
      <x:c r="C16" t="str">
        <x:v>Nonprofit Corporation</x:v>
      </x:c>
      <x:c r="D16" t="str">
        <x:v>Illinois</x:v>
      </x:c>
      <x:c r="E16" t="str">
        <x:v>Nonprofit Corporation Formation</x:v>
      </x:c>
      <x:c r="F16" t="str">
        <x:v>Expedited</x:v>
      </x:c>
      <x:c r="G16" t="str">
        <x:v>Illinois Fulfillment Team</x:v>
      </x:c>
      <x:c r="H16" t="str">
        <x:v>Processing</x:v>
      </x:c>
      <x:c r="I16" t="n">
        <x:v>3</x:v>
      </x:c>
      <x:c r="J16" t="n">
        <x:v>2</x:v>
      </x:c>
      <x:c r="K16" t="str">
        <x:f>IF(OR(H16="Pending",H16="Processing"),"Open",IF(I16&lt;=J16,"Yes","No"))</x:f>
        <x:v>Open</x:v>
      </x:c>
      <x:c r="L16" t="str"/>
      <x:c r="M16" s="12" t="n">
        <x:v>46134</x:v>
      </x:c>
      <x:c r="N16" s="12"/>
      <x:c r="O16" t="str">
        <x:v>Yes</x:v>
      </x:c>
      <x:c r="P16" t="str">
        <x:v>Standard</x:v>
      </x:c>
    </x:row>
    <x:row r="17">
      <x:c r="A17" t="str">
        <x:v>FIL-20260016</x:v>
      </x:c>
      <x:c r="B17" t="str">
        <x:v>BrightPath Group</x:v>
      </x:c>
      <x:c r="C17" t="str">
        <x:v>Fictitious Name</x:v>
      </x:c>
      <x:c r="D17" t="str">
        <x:v>Florida</x:v>
      </x:c>
      <x:c r="E17" t="str">
        <x:v>Fictitious Name Registration</x:v>
      </x:c>
      <x:c r="F17" t="str">
        <x:v>OTC</x:v>
      </x:c>
      <x:c r="G17" t="str">
        <x:v>Florida OTC Fulfillment</x:v>
      </x:c>
      <x:c r="H17" t="str">
        <x:v>Completed</x:v>
      </x:c>
      <x:c r="I17" t="n">
        <x:v>4</x:v>
      </x:c>
      <x:c r="J17" t="n">
        <x:v>3</x:v>
      </x:c>
      <x:c r="K17" t="str">
        <x:f>IF(OR(H17="Pending",H17="Processing"),"Open",IF(I17&lt;=J17,"Yes","No"))</x:f>
        <x:v>No</x:v>
      </x:c>
      <x:c r="L17" t="str"/>
      <x:c r="M17" s="12" t="n">
        <x:v>46139</x:v>
      </x:c>
      <x:c r="N17" s="12" t="n">
        <x:v>46143</x:v>
      </x:c>
      <x:c r="O17" t="str">
        <x:v>No</x:v>
      </x:c>
      <x:c r="P17" t="str">
        <x:v>Standard</x:v>
      </x:c>
    </x:row>
    <x:row r="18">
      <x:c r="A18" t="str">
        <x:v>FIL-20260017</x:v>
      </x:c>
      <x:c r="B18" t="str">
        <x:v>Pioneer Compliance L.L.P.</x:v>
      </x:c>
      <x:c r="C18" t="str">
        <x:v>LLP</x:v>
      </x:c>
      <x:c r="D18" t="str">
        <x:v>North Carolina</x:v>
      </x:c>
      <x:c r="E18" t="str">
        <x:v>Annual Report</x:v>
      </x:c>
      <x:c r="F18" t="str">
        <x:v>Mail</x:v>
      </x:c>
      <x:c r="G18" t="str">
        <x:v>North Carolina Processing Team</x:v>
      </x:c>
      <x:c r="H18" t="str">
        <x:v>Pending</x:v>
      </x:c>
      <x:c r="I18" t="n">
        <x:v>3</x:v>
      </x:c>
      <x:c r="J18" t="n">
        <x:v>6</x:v>
      </x:c>
      <x:c r="K18" t="str">
        <x:f>IF(OR(H18="Pending",H18="Processing"),"Open",IF(I18&lt;=J18,"Yes","No"))</x:f>
        <x:v>Open</x:v>
      </x:c>
      <x:c r="L18" t="str"/>
      <x:c r="M18" s="12" t="n">
        <x:v>46098</x:v>
      </x:c>
      <x:c r="N18" s="12"/>
      <x:c r="O18" t="str">
        <x:v>No</x:v>
      </x:c>
      <x:c r="P18" t="str">
        <x:v>Standard</x:v>
      </x:c>
    </x:row>
    <x:row r="19">
      <x:c r="A19" t="str">
        <x:v>FIL-20260018</x:v>
      </x:c>
      <x:c r="B19" t="str">
        <x:v>Horizon Technologies Corp.</x:v>
      </x:c>
      <x:c r="C19" t="str">
        <x:v>Profit Corporation</x:v>
      </x:c>
      <x:c r="D19" t="str">
        <x:v>Maryland</x:v>
      </x:c>
      <x:c r="E19" t="str">
        <x:v>Profit Corporation Formation</x:v>
      </x:c>
      <x:c r="F19" t="str">
        <x:v>Online</x:v>
      </x:c>
      <x:c r="G19" t="str">
        <x:v>Maryland Processing Team</x:v>
      </x:c>
      <x:c r="H19" t="str">
        <x:v>Completed</x:v>
      </x:c>
      <x:c r="I19" t="n">
        <x:v>2</x:v>
      </x:c>
      <x:c r="J19" t="n">
        <x:v>4</x:v>
      </x:c>
      <x:c r="K19" t="str">
        <x:f>IF(OR(H19="Pending",H19="Processing"),"Open",IF(I19&lt;=J19,"Yes","No"))</x:f>
        <x:v>Yes</x:v>
      </x:c>
      <x:c r="L19" t="str"/>
      <x:c r="M19" s="12" t="n">
        <x:v>46114</x:v>
      </x:c>
      <x:c r="N19" s="12" t="n">
        <x:v>46116</x:v>
      </x:c>
      <x:c r="O19" t="str">
        <x:v>No</x:v>
      </x:c>
      <x:c r="P19" t="str">
        <x:v>Standard</x:v>
      </x:c>
    </x:row>
    <x:row r="20">
      <x:c r="A20" t="str">
        <x:v>FIL-20260019</x:v>
      </x:c>
      <x:c r="B20" t="str">
        <x:v>Crescent Management L.P.</x:v>
      </x:c>
      <x:c r="C20" t="str">
        <x:v>LP</x:v>
      </x:c>
      <x:c r="D20" t="str">
        <x:v>Florida</x:v>
      </x:c>
      <x:c r="E20" t="str">
        <x:v>Principal Address Update</x:v>
      </x:c>
      <x:c r="F20" t="str">
        <x:v>Online</x:v>
      </x:c>
      <x:c r="G20" t="str">
        <x:v>Florida Online Fulfillment</x:v>
      </x:c>
      <x:c r="H20" t="str">
        <x:v>Completed</x:v>
      </x:c>
      <x:c r="I20" t="n">
        <x:v>1</x:v>
      </x:c>
      <x:c r="J20" t="n">
        <x:v>3</x:v>
      </x:c>
      <x:c r="K20" t="str">
        <x:f>IF(OR(H20="Pending",H20="Processing"),"Open",IF(I20&lt;=J20,"Yes","No"))</x:f>
        <x:v>Yes</x:v>
      </x:c>
      <x:c r="L20" t="str"/>
      <x:c r="M20" s="12" t="n">
        <x:v>46036</x:v>
      </x:c>
      <x:c r="N20" s="12" t="n">
        <x:v>46037</x:v>
      </x:c>
      <x:c r="O20" t="str">
        <x:v>No</x:v>
      </x:c>
      <x:c r="P20" t="str">
        <x:v>Standard</x:v>
      </x:c>
    </x:row>
    <x:row r="21">
      <x:c r="A21" t="str">
        <x:v>FIL-20260020</x:v>
      </x:c>
      <x:c r="B21" t="str">
        <x:v>Atlantic Group LLC</x:v>
      </x:c>
      <x:c r="C21" t="str">
        <x:v>LLC</x:v>
      </x:c>
      <x:c r="D21" t="str">
        <x:v>New York</x:v>
      </x:c>
      <x:c r="E21" t="str">
        <x:v>Conversion Filing</x:v>
      </x:c>
      <x:c r="F21" t="str">
        <x:v>Expedited</x:v>
      </x:c>
      <x:c r="G21" t="str">
        <x:v>Northeast Processing Team</x:v>
      </x:c>
      <x:c r="H21" t="str">
        <x:v>Completed</x:v>
      </x:c>
      <x:c r="I21" t="n">
        <x:v>4</x:v>
      </x:c>
      <x:c r="J21" t="n">
        <x:v>3</x:v>
      </x:c>
      <x:c r="K21" t="str">
        <x:f>IF(OR(H21="Pending",H21="Processing"),"Open",IF(I21&lt;=J21,"Yes","No"))</x:f>
        <x:v>No</x:v>
      </x:c>
      <x:c r="L21" t="str"/>
      <x:c r="M21" s="12" t="n">
        <x:v>46186</x:v>
      </x:c>
      <x:c r="N21" s="12" t="n">
        <x:v>46190</x:v>
      </x:c>
      <x:c r="O21" t="str">
        <x:v>Yes</x:v>
      </x:c>
      <x:c r="P21" t="str">
        <x:v>Standard</x:v>
      </x:c>
    </x:row>
    <x:row r="22">
      <x:c r="A22" t="str">
        <x:v>FIL-20260021</x:v>
      </x:c>
      <x:c r="B22" t="str">
        <x:v>Pioneer Group Institute Inc.</x:v>
      </x:c>
      <x:c r="C22" t="str">
        <x:v>Nonprofit Corporation</x:v>
      </x:c>
      <x:c r="D22" t="str">
        <x:v>Maryland</x:v>
      </x:c>
      <x:c r="E22" t="str">
        <x:v>Certificate of Status Request</x:v>
      </x:c>
      <x:c r="F22" t="str">
        <x:v>Mail</x:v>
      </x:c>
      <x:c r="G22" t="str">
        <x:v>Maryland Processing Team</x:v>
      </x:c>
      <x:c r="H22" t="str">
        <x:v>Completed</x:v>
      </x:c>
      <x:c r="I22" t="n">
        <x:v>5</x:v>
      </x:c>
      <x:c r="J22" t="n">
        <x:v>6</x:v>
      </x:c>
      <x:c r="K22" t="str">
        <x:f>IF(OR(H22="Pending",H22="Processing"),"Open",IF(I22&lt;=J22,"Yes","No"))</x:f>
        <x:v>Yes</x:v>
      </x:c>
      <x:c r="L22" t="str"/>
      <x:c r="M22" s="12" t="n">
        <x:v>46181</x:v>
      </x:c>
      <x:c r="N22" s="12" t="n">
        <x:v>46186</x:v>
      </x:c>
      <x:c r="O22" t="str">
        <x:v>No</x:v>
      </x:c>
      <x:c r="P22" t="str">
        <x:v>High</x:v>
      </x:c>
    </x:row>
    <x:row r="23">
      <x:c r="A23" t="str">
        <x:v>FIL-20260022</x:v>
      </x:c>
      <x:c r="B23" t="str">
        <x:v>Blue Ridge Studios L.L.C.</x:v>
      </x:c>
      <x:c r="C23" t="str">
        <x:v>LLC</x:v>
      </x:c>
      <x:c r="D23" t="str">
        <x:v>Maryland</x:v>
      </x:c>
      <x:c r="E23" t="str">
        <x:v>Annual Report</x:v>
      </x:c>
      <x:c r="F23" t="str">
        <x:v>Online</x:v>
      </x:c>
      <x:c r="G23" t="str">
        <x:v>Maryland Processing Team</x:v>
      </x:c>
      <x:c r="H23" t="str">
        <x:v>Completed</x:v>
      </x:c>
      <x:c r="I23" t="n">
        <x:v>5</x:v>
      </x:c>
      <x:c r="J23" t="n">
        <x:v>4</x:v>
      </x:c>
      <x:c r="K23" t="str">
        <x:f>IF(OR(H23="Pending",H23="Processing"),"Open",IF(I23&lt;=J23,"Yes","No"))</x:f>
        <x:v>No</x:v>
      </x:c>
      <x:c r="L23" t="str"/>
      <x:c r="M23" s="12" t="n">
        <x:v>46046</x:v>
      </x:c>
      <x:c r="N23" s="12" t="n">
        <x:v>46051</x:v>
      </x:c>
      <x:c r="O23" t="str">
        <x:v>No</x:v>
      </x:c>
      <x:c r="P23" t="str">
        <x:v>Standard</x:v>
      </x:c>
    </x:row>
    <x:row r="24">
      <x:c r="A24" t="str">
        <x:v>FIL-20260023</x:v>
      </x:c>
      <x:c r="B24" t="str">
        <x:v>Liberty Consulting Corp.</x:v>
      </x:c>
      <x:c r="C24" t="str">
        <x:v>Profit Corporation</x:v>
      </x:c>
      <x:c r="D24" t="str">
        <x:v>Washington D.C.</x:v>
      </x:c>
      <x:c r="E24" t="str">
        <x:v>Foreign Corporation Qualification</x:v>
      </x:c>
      <x:c r="F24" t="str">
        <x:v>Online</x:v>
      </x:c>
      <x:c r="G24" t="str">
        <x:v>DC Compliance Team</x:v>
      </x:c>
      <x:c r="H24" t="str">
        <x:v>Processing</x:v>
      </x:c>
      <x:c r="I24" t="n">
        <x:v>5</x:v>
      </x:c>
      <x:c r="J24" t="n">
        <x:v>3</x:v>
      </x:c>
      <x:c r="K24" t="str">
        <x:f>IF(OR(H24="Pending",H24="Processing"),"Open",IF(I24&lt;=J24,"Yes","No"))</x:f>
        <x:v>Open</x:v>
      </x:c>
      <x:c r="L24" t="str"/>
      <x:c r="M24" s="12" t="n">
        <x:v>46128</x:v>
      </x:c>
      <x:c r="N24" s="12"/>
      <x:c r="O24" t="str">
        <x:v>Yes</x:v>
      </x:c>
      <x:c r="P24" t="str">
        <x:v>High</x:v>
      </x:c>
    </x:row>
    <x:row r="25">
      <x:c r="A25" t="str">
        <x:v>FIL-20260024</x:v>
      </x:c>
      <x:c r="B25" t="str">
        <x:v>Blue Ridge Compliance Inc.</x:v>
      </x:c>
      <x:c r="C25" t="str">
        <x:v>Profit Corporation</x:v>
      </x:c>
      <x:c r="D25" t="str">
        <x:v>Delaware</x:v>
      </x:c>
      <x:c r="E25" t="str">
        <x:v>Foreign Corporation Qualification</x:v>
      </x:c>
      <x:c r="F25" t="str">
        <x:v>Expedited</x:v>
      </x:c>
      <x:c r="G25" t="str">
        <x:v>Delaware Processing Team</x:v>
      </x:c>
      <x:c r="H25" t="str">
        <x:v>Completed</x:v>
      </x:c>
      <x:c r="I25" t="n">
        <x:v>5</x:v>
      </x:c>
      <x:c r="J25" t="n">
        <x:v>1</x:v>
      </x:c>
      <x:c r="K25" t="str">
        <x:f>IF(OR(H25="Pending",H25="Processing"),"Open",IF(I25&lt;=J25,"Yes","No"))</x:f>
        <x:v>No</x:v>
      </x:c>
      <x:c r="L25" t="str"/>
      <x:c r="M25" s="12" t="n">
        <x:v>46186</x:v>
      </x:c>
      <x:c r="N25" s="12" t="n">
        <x:v>46191</x:v>
      </x:c>
      <x:c r="O25" t="str">
        <x:v>Yes</x:v>
      </x:c>
      <x:c r="P25" t="str">
        <x:v>High</x:v>
      </x:c>
    </x:row>
    <x:row r="26">
      <x:c r="A26" t="str">
        <x:v>FIL-20260025</x:v>
      </x:c>
      <x:c r="B26" t="str">
        <x:v>BrightPath Partners L.P.</x:v>
      </x:c>
      <x:c r="C26" t="str">
        <x:v>LP</x:v>
      </x:c>
      <x:c r="D26" t="str">
        <x:v>Virginia</x:v>
      </x:c>
      <x:c r="E26" t="str">
        <x:v>Annual Report</x:v>
      </x:c>
      <x:c r="F26" t="str">
        <x:v>Online</x:v>
      </x:c>
      <x:c r="G26" t="str">
        <x:v>Virginia Processing Team</x:v>
      </x:c>
      <x:c r="H26" t="str">
        <x:v>Pending</x:v>
      </x:c>
      <x:c r="I26" t="n">
        <x:v>4</x:v>
      </x:c>
      <x:c r="J26" t="n">
        <x:v>4</x:v>
      </x:c>
      <x:c r="K26" t="str">
        <x:f>IF(OR(H26="Pending",H26="Processing"),"Open",IF(I26&lt;=J26,"Yes","No"))</x:f>
        <x:v>Open</x:v>
      </x:c>
      <x:c r="L26" t="str"/>
      <x:c r="M26" s="12" t="n">
        <x:v>46046</x:v>
      </x:c>
      <x:c r="N26" s="12"/>
      <x:c r="O26" t="str">
        <x:v>No</x:v>
      </x:c>
      <x:c r="P26" t="str">
        <x:v>Standard</x:v>
      </x:c>
    </x:row>
    <x:row r="27">
      <x:c r="A27" t="str">
        <x:v>FIL-20260026</x:v>
      </x:c>
      <x:c r="B27" t="str">
        <x:v>First State Group L.L.C.</x:v>
      </x:c>
      <x:c r="C27" t="str">
        <x:v>LLC</x:v>
      </x:c>
      <x:c r="D27" t="str">
        <x:v>Illinois</x:v>
      </x:c>
      <x:c r="E27" t="str">
        <x:v>LLC Amendment</x:v>
      </x:c>
      <x:c r="F27" t="str">
        <x:v>Mail</x:v>
      </x:c>
      <x:c r="G27" t="str">
        <x:v>Illinois Fulfillment Team</x:v>
      </x:c>
      <x:c r="H27" t="str">
        <x:v>Completed</x:v>
      </x:c>
      <x:c r="I27" t="n">
        <x:v>4</x:v>
      </x:c>
      <x:c r="J27" t="n">
        <x:v>6</x:v>
      </x:c>
      <x:c r="K27" t="str">
        <x:f>IF(OR(H27="Pending",H27="Processing"),"Open",IF(I27&lt;=J27,"Yes","No"))</x:f>
        <x:v>Yes</x:v>
      </x:c>
      <x:c r="L27" t="str"/>
      <x:c r="M27" s="12" t="n">
        <x:v>46147</x:v>
      </x:c>
      <x:c r="N27" s="12" t="n">
        <x:v>46151</x:v>
      </x:c>
      <x:c r="O27" t="str">
        <x:v>Yes</x:v>
      </x:c>
      <x:c r="P27" t="str">
        <x:v>Standard</x:v>
      </x:c>
    </x:row>
    <x:row r="28">
      <x:c r="A28" t="str">
        <x:v>FIL-20260027</x:v>
      </x:c>
      <x:c r="B28" t="str">
        <x:v>Legacy Partners L.L.C.</x:v>
      </x:c>
      <x:c r="C28" t="str">
        <x:v>LLC</x:v>
      </x:c>
      <x:c r="D28" t="str">
        <x:v>Maryland</x:v>
      </x:c>
      <x:c r="E28" t="str">
        <x:v>LLC Dissolution</x:v>
      </x:c>
      <x:c r="F28" t="str">
        <x:v>Online</x:v>
      </x:c>
      <x:c r="G28" t="str">
        <x:v>Maryland Processing Team</x:v>
      </x:c>
      <x:c r="H28" t="str">
        <x:v>Completed</x:v>
      </x:c>
      <x:c r="I28" t="n">
        <x:v>8</x:v>
      </x:c>
      <x:c r="J28" t="n">
        <x:v>4</x:v>
      </x:c>
      <x:c r="K28" t="str">
        <x:f>IF(OR(H28="Pending",H28="Processing"),"Open",IF(I28&lt;=J28,"Yes","No"))</x:f>
        <x:v>No</x:v>
      </x:c>
      <x:c r="L28" t="str"/>
      <x:c r="M28" s="12" t="n">
        <x:v>46065</x:v>
      </x:c>
      <x:c r="N28" s="12" t="n">
        <x:v>46073</x:v>
      </x:c>
      <x:c r="O28" t="str">
        <x:v>No</x:v>
      </x:c>
      <x:c r="P28" t="str">
        <x:v>Standard</x:v>
      </x:c>
    </x:row>
    <x:row r="29">
      <x:c r="A29" t="str">
        <x:v>FIL-20260028</x:v>
      </x:c>
      <x:c r="B29" t="str">
        <x:v>Blue Ridge Group Inc.</x:v>
      </x:c>
      <x:c r="C29" t="str">
        <x:v>Profit Corporation</x:v>
      </x:c>
      <x:c r="D29" t="str">
        <x:v>Florida</x:v>
      </x:c>
      <x:c r="E29" t="str">
        <x:v>Corporation Dissolution</x:v>
      </x:c>
      <x:c r="F29" t="str">
        <x:v>OTC</x:v>
      </x:c>
      <x:c r="G29" t="str">
        <x:v>Florida OTC Fulfillment</x:v>
      </x:c>
      <x:c r="H29" t="str">
        <x:v>Pending</x:v>
      </x:c>
      <x:c r="I29" t="n">
        <x:v>1</x:v>
      </x:c>
      <x:c r="J29" t="n">
        <x:v>3</x:v>
      </x:c>
      <x:c r="K29" t="str">
        <x:f>IF(OR(H29="Pending",H29="Processing"),"Open",IF(I29&lt;=J29,"Yes","No"))</x:f>
        <x:v>Open</x:v>
      </x:c>
      <x:c r="L29" t="str"/>
      <x:c r="M29" s="12" t="n">
        <x:v>46171</x:v>
      </x:c>
      <x:c r="N29" s="12"/>
      <x:c r="O29" t="str">
        <x:v>No</x:v>
      </x:c>
      <x:c r="P29" t="str">
        <x:v>Standard</x:v>
      </x:c>
    </x:row>
    <x:row r="30">
      <x:c r="A30" t="str">
        <x:v>FIL-20260029</x:v>
      </x:c>
      <x:c r="B30" t="str">
        <x:v>Atlantic Resources L.P.</x:v>
      </x:c>
      <x:c r="C30" t="str">
        <x:v>LP</x:v>
      </x:c>
      <x:c r="D30" t="str">
        <x:v>Illinois</x:v>
      </x:c>
      <x:c r="E30" t="str">
        <x:v>Limited Partnership Formation</x:v>
      </x:c>
      <x:c r="F30" t="str">
        <x:v>Mail</x:v>
      </x:c>
      <x:c r="G30" t="str">
        <x:v>Illinois Fulfillment Team</x:v>
      </x:c>
      <x:c r="H30" t="str">
        <x:v>Completed</x:v>
      </x:c>
      <x:c r="I30" t="n">
        <x:v>7</x:v>
      </x:c>
      <x:c r="J30" t="n">
        <x:v>6</x:v>
      </x:c>
      <x:c r="K30" t="str">
        <x:f>IF(OR(H30="Pending",H30="Processing"),"Open",IF(I30&lt;=J30,"Yes","No"))</x:f>
        <x:v>No</x:v>
      </x:c>
      <x:c r="L30" t="str"/>
      <x:c r="M30" s="12" t="n">
        <x:v>46081</x:v>
      </x:c>
      <x:c r="N30" s="12" t="n">
        <x:v>46088</x:v>
      </x:c>
      <x:c r="O30" t="str">
        <x:v>Yes</x:v>
      </x:c>
      <x:c r="P30" t="str">
        <x:v>Standard</x:v>
      </x:c>
    </x:row>
    <x:row r="31">
      <x:c r="A31" t="str">
        <x:v>FIL-20260030</x:v>
      </x:c>
      <x:c r="B31" t="str">
        <x:v>Oakmont Consulting Inc.</x:v>
      </x:c>
      <x:c r="C31" t="str">
        <x:v>Profit Corporation</x:v>
      </x:c>
      <x:c r="D31" t="str">
        <x:v>North Carolina</x:v>
      </x:c>
      <x:c r="E31" t="str">
        <x:v>Profit Corporation Formation</x:v>
      </x:c>
      <x:c r="F31" t="str">
        <x:v>Online</x:v>
      </x:c>
      <x:c r="G31" t="str">
        <x:v>North Carolina Processing Team</x:v>
      </x:c>
      <x:c r="H31" t="str">
        <x:v>Rejected</x:v>
      </x:c>
      <x:c r="I31" t="n">
        <x:v>9</x:v>
      </x:c>
      <x:c r="J31" t="n">
        <x:v>4</x:v>
      </x:c>
      <x:c r="K31" t="str">
        <x:f>IF(OR(H31="Pending",H31="Processing"),"Open",IF(I31&lt;=J31,"Yes","No"))</x:f>
        <x:v>No</x:v>
      </x:c>
      <x:c r="L31" t="str">
        <x:v>Name Not Available</x:v>
      </x:c>
      <x:c r="M31" s="12" t="n">
        <x:v>46132</x:v>
      </x:c>
      <x:c r="N31" s="12"/>
      <x:c r="O31" t="str">
        <x:v>No</x:v>
      </x:c>
      <x:c r="P31" t="str">
        <x:v>Standard</x:v>
      </x:c>
    </x:row>
    <x:row r="32">
      <x:c r="A32" t="str">
        <x:v>FIL-20260031</x:v>
      </x:c>
      <x:c r="B32" t="str">
        <x:v>Sunrise Solutions Corp.</x:v>
      </x:c>
      <x:c r="C32" t="str">
        <x:v>Profit Corporation</x:v>
      </x:c>
      <x:c r="D32" t="str">
        <x:v>Illinois</x:v>
      </x:c>
      <x:c r="E32" t="str">
        <x:v>Profit Corporation Formation</x:v>
      </x:c>
      <x:c r="F32" t="str">
        <x:v>Online</x:v>
      </x:c>
      <x:c r="G32" t="str">
        <x:v>Illinois Online Fulfillment</x:v>
      </x:c>
      <x:c r="H32" t="str">
        <x:v>Completed</x:v>
      </x:c>
      <x:c r="I32" t="n">
        <x:v>7</x:v>
      </x:c>
      <x:c r="J32" t="n">
        <x:v>4</x:v>
      </x:c>
      <x:c r="K32" t="str">
        <x:f>IF(OR(H32="Pending",H32="Processing"),"Open",IF(I32&lt;=J32,"Yes","No"))</x:f>
        <x:v>No</x:v>
      </x:c>
      <x:c r="L32" t="str"/>
      <x:c r="M32" s="12" t="n">
        <x:v>46075</x:v>
      </x:c>
      <x:c r="N32" s="12" t="n">
        <x:v>46082</x:v>
      </x:c>
      <x:c r="O32" t="str">
        <x:v>Yes</x:v>
      </x:c>
      <x:c r="P32" t="str">
        <x:v>Standard</x:v>
      </x:c>
    </x:row>
    <x:row r="33">
      <x:c r="A33" t="str">
        <x:v>FIL-20260032</x:v>
      </x:c>
      <x:c r="B33" t="str">
        <x:v>Legacy Advisors Association Inc.</x:v>
      </x:c>
      <x:c r="C33" t="str">
        <x:v>Nonprofit Corporation</x:v>
      </x:c>
      <x:c r="D33" t="str">
        <x:v>Maryland</x:v>
      </x:c>
      <x:c r="E33" t="str">
        <x:v>Certificate of Status Request</x:v>
      </x:c>
      <x:c r="F33" t="str">
        <x:v>Online</x:v>
      </x:c>
      <x:c r="G33" t="str">
        <x:v>Maryland Processing Team</x:v>
      </x:c>
      <x:c r="H33" t="str">
        <x:v>Completed</x:v>
      </x:c>
      <x:c r="I33" t="n">
        <x:v>3</x:v>
      </x:c>
      <x:c r="J33" t="n">
        <x:v>4</x:v>
      </x:c>
      <x:c r="K33" t="str">
        <x:f>IF(OR(H33="Pending",H33="Processing"),"Open",IF(I33&lt;=J33,"Yes","No"))</x:f>
        <x:v>Yes</x:v>
      </x:c>
      <x:c r="L33" t="str"/>
      <x:c r="M33" s="12" t="n">
        <x:v>46123</x:v>
      </x:c>
      <x:c r="N33" s="12" t="n">
        <x:v>46126</x:v>
      </x:c>
      <x:c r="O33" t="str">
        <x:v>No</x:v>
      </x:c>
      <x:c r="P33" t="str">
        <x:v>Standard</x:v>
      </x:c>
    </x:row>
    <x:row r="34">
      <x:c r="A34" t="str">
        <x:v>FIL-20260033</x:v>
      </x:c>
      <x:c r="B34" t="str">
        <x:v>Harbor Development Association Inc.</x:v>
      </x:c>
      <x:c r="C34" t="str">
        <x:v>Nonprofit Corporation</x:v>
      </x:c>
      <x:c r="D34" t="str">
        <x:v>Maryland</x:v>
      </x:c>
      <x:c r="E34" t="str">
        <x:v>Conversion Filing</x:v>
      </x:c>
      <x:c r="F34" t="str">
        <x:v>Online</x:v>
      </x:c>
      <x:c r="G34" t="str">
        <x:v>Maryland Processing Team</x:v>
      </x:c>
      <x:c r="H34" t="str">
        <x:v>Pending</x:v>
      </x:c>
      <x:c r="I34" t="n">
        <x:v>2</x:v>
      </x:c>
      <x:c r="J34" t="n">
        <x:v>4</x:v>
      </x:c>
      <x:c r="K34" t="str">
        <x:f>IF(OR(H34="Pending",H34="Processing"),"Open",IF(I34&lt;=J34,"Yes","No"))</x:f>
        <x:v>Open</x:v>
      </x:c>
      <x:c r="L34" t="str"/>
      <x:c r="M34" s="12" t="n">
        <x:v>46063</x:v>
      </x:c>
      <x:c r="N34" s="12"/>
      <x:c r="O34" t="str">
        <x:v>No</x:v>
      </x:c>
      <x:c r="P34" t="str">
        <x:v>Urgent</x:v>
      </x:c>
    </x:row>
    <x:row r="35">
      <x:c r="A35" t="str">
        <x:v>FIL-20260034</x:v>
      </x:c>
      <x:c r="B35" t="str">
        <x:v>First State Services L.P.</x:v>
      </x:c>
      <x:c r="C35" t="str">
        <x:v>LP</x:v>
      </x:c>
      <x:c r="D35" t="str">
        <x:v>Washington D.C.</x:v>
      </x:c>
      <x:c r="E35" t="str">
        <x:v>Foreign LP Qualification</x:v>
      </x:c>
      <x:c r="F35" t="str">
        <x:v>Mail</x:v>
      </x:c>
      <x:c r="G35" t="str">
        <x:v>DC Compliance Team</x:v>
      </x:c>
      <x:c r="H35" t="str">
        <x:v>Pending</x:v>
      </x:c>
      <x:c r="I35" t="n">
        <x:v>3</x:v>
      </x:c>
      <x:c r="J35" t="n">
        <x:v>5</x:v>
      </x:c>
      <x:c r="K35" t="str">
        <x:f>IF(OR(H35="Pending",H35="Processing"),"Open",IF(I35&lt;=J35,"Yes","No"))</x:f>
        <x:v>Open</x:v>
      </x:c>
      <x:c r="L35" t="str"/>
      <x:c r="M35" s="12" t="n">
        <x:v>46041</x:v>
      </x:c>
      <x:c r="N35" s="12"/>
      <x:c r="O35" t="str">
        <x:v>Yes</x:v>
      </x:c>
      <x:c r="P35" t="str">
        <x:v>Standard</x:v>
      </x:c>
    </x:row>
    <x:row r="36">
      <x:c r="A36" t="str">
        <x:v>FIL-20260035</x:v>
      </x:c>
      <x:c r="B36" t="str">
        <x:v>Legacy Healthcare LLP</x:v>
      </x:c>
      <x:c r="C36" t="str">
        <x:v>LLP</x:v>
      </x:c>
      <x:c r="D36" t="str">
        <x:v>Illinois</x:v>
      </x:c>
      <x:c r="E36" t="str">
        <x:v>Annual Report</x:v>
      </x:c>
      <x:c r="F36" t="str">
        <x:v>Expedited</x:v>
      </x:c>
      <x:c r="G36" t="str">
        <x:v>Illinois Fulfillment Team</x:v>
      </x:c>
      <x:c r="H36" t="str">
        <x:v>Completed</x:v>
      </x:c>
      <x:c r="I36" t="n">
        <x:v>3</x:v>
      </x:c>
      <x:c r="J36" t="n">
        <x:v>1</x:v>
      </x:c>
      <x:c r="K36" t="str">
        <x:f>IF(OR(H36="Pending",H36="Processing"),"Open",IF(I36&lt;=J36,"Yes","No"))</x:f>
        <x:v>No</x:v>
      </x:c>
      <x:c r="L36" t="str"/>
      <x:c r="M36" s="12" t="n">
        <x:v>46061</x:v>
      </x:c>
      <x:c r="N36" s="12" t="n">
        <x:v>46064</x:v>
      </x:c>
      <x:c r="O36" t="str">
        <x:v>Yes</x:v>
      </x:c>
      <x:c r="P36" t="str">
        <x:v>Urgent</x:v>
      </x:c>
    </x:row>
    <x:row r="37">
      <x:c r="A37" t="str">
        <x:v>FIL-20260036</x:v>
      </x:c>
      <x:c r="B37" t="str">
        <x:v>Harbor Advisors Institute Inc.</x:v>
      </x:c>
      <x:c r="C37" t="str">
        <x:v>Nonprofit Corporation</x:v>
      </x:c>
      <x:c r="D37" t="str">
        <x:v>Virginia</x:v>
      </x:c>
      <x:c r="E37" t="str">
        <x:v>Annual Report</x:v>
      </x:c>
      <x:c r="F37" t="str">
        <x:v>Online</x:v>
      </x:c>
      <x:c r="G37" t="str">
        <x:v>Virginia Processing Team</x:v>
      </x:c>
      <x:c r="H37" t="str">
        <x:v>Processing</x:v>
      </x:c>
      <x:c r="I37" t="n">
        <x:v>4</x:v>
      </x:c>
      <x:c r="J37" t="n">
        <x:v>4</x:v>
      </x:c>
      <x:c r="K37" t="str">
        <x:f>IF(OR(H37="Pending",H37="Processing"),"Open",IF(I37&lt;=J37,"Yes","No"))</x:f>
        <x:v>Open</x:v>
      </x:c>
      <x:c r="L37" t="str"/>
      <x:c r="M37" s="12" t="n">
        <x:v>46194</x:v>
      </x:c>
      <x:c r="N37" s="12"/>
      <x:c r="O37" t="str">
        <x:v>No</x:v>
      </x:c>
      <x:c r="P37" t="str">
        <x:v>Standard</x:v>
      </x:c>
    </x:row>
    <x:row r="38">
      <x:c r="A38" t="str">
        <x:v>FIL-20260037</x:v>
      </x:c>
      <x:c r="B38" t="str">
        <x:v>Pioneer Resources PLLC</x:v>
      </x:c>
      <x:c r="C38" t="str">
        <x:v>PLLC</x:v>
      </x:c>
      <x:c r="D38" t="str">
        <x:v>Florida</x:v>
      </x:c>
      <x:c r="E38" t="str">
        <x:v>PLLC Formation</x:v>
      </x:c>
      <x:c r="F38" t="str">
        <x:v>Online</x:v>
      </x:c>
      <x:c r="G38" t="str">
        <x:v>Florida Online Fulfillment</x:v>
      </x:c>
      <x:c r="H38" t="str">
        <x:v>Completed</x:v>
      </x:c>
      <x:c r="I38" t="n">
        <x:v>1</x:v>
      </x:c>
      <x:c r="J38" t="n">
        <x:v>3</x:v>
      </x:c>
      <x:c r="K38" t="str">
        <x:f>IF(OR(H38="Pending",H38="Processing"),"Open",IF(I38&lt;=J38,"Yes","No"))</x:f>
        <x:v>Yes</x:v>
      </x:c>
      <x:c r="L38" t="str"/>
      <x:c r="M38" s="12" t="n">
        <x:v>46187</x:v>
      </x:c>
      <x:c r="N38" s="12" t="n">
        <x:v>46188</x:v>
      </x:c>
      <x:c r="O38" t="str">
        <x:v>No</x:v>
      </x:c>
      <x:c r="P38" t="str">
        <x:v>Standard</x:v>
      </x:c>
    </x:row>
    <x:row r="39">
      <x:c r="A39" t="str">
        <x:v>FIL-20260038</x:v>
      </x:c>
      <x:c r="B39" t="str">
        <x:v>Sunrise Logistics LP</x:v>
      </x:c>
      <x:c r="C39" t="str">
        <x:v>LP</x:v>
      </x:c>
      <x:c r="D39" t="str">
        <x:v>Texas</x:v>
      </x:c>
      <x:c r="E39" t="str">
        <x:v>Annual Report</x:v>
      </x:c>
      <x:c r="F39" t="str">
        <x:v>Online</x:v>
      </x:c>
      <x:c r="G39" t="str">
        <x:v>Texas Filing Operations</x:v>
      </x:c>
      <x:c r="H39" t="str">
        <x:v>Processing</x:v>
      </x:c>
      <x:c r="I39" t="n">
        <x:v>4</x:v>
      </x:c>
      <x:c r="J39" t="n">
        <x:v>4</x:v>
      </x:c>
      <x:c r="K39" t="str">
        <x:f>IF(OR(H39="Pending",H39="Processing"),"Open",IF(I39&lt;=J39,"Yes","No"))</x:f>
        <x:v>Open</x:v>
      </x:c>
      <x:c r="L39" t="str"/>
      <x:c r="M39" s="12" t="n">
        <x:v>46040</x:v>
      </x:c>
      <x:c r="N39" s="12"/>
      <x:c r="O39" t="str">
        <x:v>No</x:v>
      </x:c>
      <x:c r="P39" t="str">
        <x:v>Standard</x:v>
      </x:c>
    </x:row>
    <x:row r="40">
      <x:c r="A40" t="str">
        <x:v>FIL-20260039</x:v>
      </x:c>
      <x:c r="B40" t="str">
        <x:v>Evergreen Enterprises Inc.</x:v>
      </x:c>
      <x:c r="C40" t="str">
        <x:v>Profit Corporation</x:v>
      </x:c>
      <x:c r="D40" t="str">
        <x:v>California</x:v>
      </x:c>
      <x:c r="E40" t="str">
        <x:v>Foreign Corporation Qualification</x:v>
      </x:c>
      <x:c r="F40" t="str">
        <x:v>Online</x:v>
      </x:c>
      <x:c r="G40" t="str">
        <x:v>West Coast Processing Team</x:v>
      </x:c>
      <x:c r="H40" t="str">
        <x:v>Completed</x:v>
      </x:c>
      <x:c r="I40" t="n">
        <x:v>5</x:v>
      </x:c>
      <x:c r="J40" t="n">
        <x:v>5</x:v>
      </x:c>
      <x:c r="K40" t="str">
        <x:f>IF(OR(H40="Pending",H40="Processing"),"Open",IF(I40&lt;=J40,"Yes","No"))</x:f>
        <x:v>Yes</x:v>
      </x:c>
      <x:c r="L40" t="str"/>
      <x:c r="M40" s="12" t="n">
        <x:v>46165</x:v>
      </x:c>
      <x:c r="N40" s="12" t="n">
        <x:v>46170</x:v>
      </x:c>
      <x:c r="O40" t="str">
        <x:v>No</x:v>
      </x:c>
      <x:c r="P40" t="str">
        <x:v>Standard</x:v>
      </x:c>
    </x:row>
    <x:row r="41">
      <x:c r="A41" t="str">
        <x:v>FIL-20260040</x:v>
      </x:c>
      <x:c r="B41" t="str">
        <x:v>Oakmont Systems L.L.C.</x:v>
      </x:c>
      <x:c r="C41" t="str">
        <x:v>LLC</x:v>
      </x:c>
      <x:c r="D41" t="str">
        <x:v>Washington D.C.</x:v>
      </x:c>
      <x:c r="E41" t="str">
        <x:v>LLC Dissolution</x:v>
      </x:c>
      <x:c r="F41" t="str">
        <x:v>Mail</x:v>
      </x:c>
      <x:c r="G41" t="str">
        <x:v>DC Compliance Team</x:v>
      </x:c>
      <x:c r="H41" t="str">
        <x:v>Completed</x:v>
      </x:c>
      <x:c r="I41" t="n">
        <x:v>8</x:v>
      </x:c>
      <x:c r="J41" t="n">
        <x:v>5</x:v>
      </x:c>
      <x:c r="K41" t="str">
        <x:f>IF(OR(H41="Pending",H41="Processing"),"Open",IF(I41&lt;=J41,"Yes","No"))</x:f>
        <x:v>No</x:v>
      </x:c>
      <x:c r="L41" t="str"/>
      <x:c r="M41" s="12" t="n">
        <x:v>46153</x:v>
      </x:c>
      <x:c r="N41" s="12" t="n">
        <x:v>46161</x:v>
      </x:c>
      <x:c r="O41" t="str">
        <x:v>Yes</x:v>
      </x:c>
      <x:c r="P41" t="str">
        <x:v>Standard</x:v>
      </x:c>
    </x:row>
    <x:row r="42">
      <x:c r="A42" t="str">
        <x:v>FIL-20260041</x:v>
      </x:c>
      <x:c r="B42" t="str">
        <x:v>Atlantic Studios L.L.C.</x:v>
      </x:c>
      <x:c r="C42" t="str">
        <x:v>LLC</x:v>
      </x:c>
      <x:c r="D42" t="str">
        <x:v>Florida</x:v>
      </x:c>
      <x:c r="E42" t="str">
        <x:v>Certificate of Status Request</x:v>
      </x:c>
      <x:c r="F42" t="str">
        <x:v>OTC</x:v>
      </x:c>
      <x:c r="G42" t="str">
        <x:v>Florida OTC Fulfillment</x:v>
      </x:c>
      <x:c r="H42" t="str">
        <x:v>Processing</x:v>
      </x:c>
      <x:c r="I42" t="n">
        <x:v>5</x:v>
      </x:c>
      <x:c r="J42" t="n">
        <x:v>3</x:v>
      </x:c>
      <x:c r="K42" t="str">
        <x:f>IF(OR(H42="Pending",H42="Processing"),"Open",IF(I42&lt;=J42,"Yes","No"))</x:f>
        <x:v>Open</x:v>
      </x:c>
      <x:c r="L42" t="str"/>
      <x:c r="M42" s="12" t="n">
        <x:v>46166</x:v>
      </x:c>
      <x:c r="N42" s="12"/>
      <x:c r="O42" t="str">
        <x:v>No</x:v>
      </x:c>
      <x:c r="P42" t="str">
        <x:v>High</x:v>
      </x:c>
    </x:row>
    <x:row r="43">
      <x:c r="A43" t="str">
        <x:v>FIL-20260042</x:v>
      </x:c>
      <x:c r="B43" t="str">
        <x:v>Legacy Logistics PLLC</x:v>
      </x:c>
      <x:c r="C43" t="str">
        <x:v>PLLC</x:v>
      </x:c>
      <x:c r="D43" t="str">
        <x:v>California</x:v>
      </x:c>
      <x:c r="E43" t="str">
        <x:v>Reinstatement</x:v>
      </x:c>
      <x:c r="F43" t="str">
        <x:v>Mail</x:v>
      </x:c>
      <x:c r="G43" t="str">
        <x:v>West Coast Processing Team</x:v>
      </x:c>
      <x:c r="H43" t="str">
        <x:v>Processing</x:v>
      </x:c>
      <x:c r="I43" t="n">
        <x:v>10</x:v>
      </x:c>
      <x:c r="J43" t="n">
        <x:v>7</x:v>
      </x:c>
      <x:c r="K43" t="str">
        <x:f>IF(OR(H43="Pending",H43="Processing"),"Open",IF(I43&lt;=J43,"Yes","No"))</x:f>
        <x:v>Open</x:v>
      </x:c>
      <x:c r="L43" t="str"/>
      <x:c r="M43" s="12" t="n">
        <x:v>46086</x:v>
      </x:c>
      <x:c r="N43" s="12"/>
      <x:c r="O43" t="str">
        <x:v>No</x:v>
      </x:c>
      <x:c r="P43" t="str">
        <x:v>Standard</x:v>
      </x:c>
    </x:row>
    <x:row r="44">
      <x:c r="A44" t="str">
        <x:v>FIL-20260043</x:v>
      </x:c>
      <x:c r="B44" t="str">
        <x:v>Capital Analytics Institute Inc.</x:v>
      </x:c>
      <x:c r="C44" t="str">
        <x:v>Nonprofit Corporation</x:v>
      </x:c>
      <x:c r="D44" t="str">
        <x:v>Texas</x:v>
      </x:c>
      <x:c r="E44" t="str">
        <x:v>Principal Address Update</x:v>
      </x:c>
      <x:c r="F44" t="str">
        <x:v>Mail</x:v>
      </x:c>
      <x:c r="G44" t="str">
        <x:v>Texas Filing Operations</x:v>
      </x:c>
      <x:c r="H44" t="str">
        <x:v>Pending</x:v>
      </x:c>
      <x:c r="I44" t="n">
        <x:v>5</x:v>
      </x:c>
      <x:c r="J44" t="n">
        <x:v>6</x:v>
      </x:c>
      <x:c r="K44" t="str">
        <x:f>IF(OR(H44="Pending",H44="Processing"),"Open",IF(I44&lt;=J44,"Yes","No"))</x:f>
        <x:v>Open</x:v>
      </x:c>
      <x:c r="L44" t="str"/>
      <x:c r="M44" s="12" t="n">
        <x:v>46028</x:v>
      </x:c>
      <x:c r="N44" s="12"/>
      <x:c r="O44" t="str">
        <x:v>No</x:v>
      </x:c>
      <x:c r="P44" t="str">
        <x:v>High</x:v>
      </x:c>
    </x:row>
    <x:row r="45">
      <x:c r="A45" t="str">
        <x:v>FIL-20260044</x:v>
      </x:c>
      <x:c r="B45" t="str">
        <x:v>Crescent Studios</x:v>
      </x:c>
      <x:c r="C45" t="str">
        <x:v>Fictitious Name</x:v>
      </x:c>
      <x:c r="D45" t="str">
        <x:v>Illinois</x:v>
      </x:c>
      <x:c r="E45" t="str">
        <x:v>Fictitious Name Registration</x:v>
      </x:c>
      <x:c r="F45" t="str">
        <x:v>Mail</x:v>
      </x:c>
      <x:c r="G45" t="str">
        <x:v>Illinois Fulfillment Team</x:v>
      </x:c>
      <x:c r="H45" t="str">
        <x:v>Completed</x:v>
      </x:c>
      <x:c r="I45" t="n">
        <x:v>10</x:v>
      </x:c>
      <x:c r="J45" t="n">
        <x:v>6</x:v>
      </x:c>
      <x:c r="K45" t="str">
        <x:f>IF(OR(H45="Pending",H45="Processing"),"Open",IF(I45&lt;=J45,"Yes","No"))</x:f>
        <x:v>No</x:v>
      </x:c>
      <x:c r="L45" t="str"/>
      <x:c r="M45" s="12" t="n">
        <x:v>46137</x:v>
      </x:c>
      <x:c r="N45" s="12" t="n">
        <x:v>46147</x:v>
      </x:c>
      <x:c r="O45" t="str">
        <x:v>Yes</x:v>
      </x:c>
      <x:c r="P45" t="str">
        <x:v>Standard</x:v>
      </x:c>
    </x:row>
    <x:row r="46">
      <x:c r="A46" t="str">
        <x:v>FIL-20260045</x:v>
      </x:c>
      <x:c r="B46" t="str">
        <x:v>Harbor Group Corporation</x:v>
      </x:c>
      <x:c r="C46" t="str">
        <x:v>Profit Corporation</x:v>
      </x:c>
      <x:c r="D46" t="str">
        <x:v>Texas</x:v>
      </x:c>
      <x:c r="E46" t="str">
        <x:v>Foreign Corporation Qualification</x:v>
      </x:c>
      <x:c r="F46" t="str">
        <x:v>Online</x:v>
      </x:c>
      <x:c r="G46" t="str">
        <x:v>Texas Filing Operations</x:v>
      </x:c>
      <x:c r="H46" t="str">
        <x:v>Processing</x:v>
      </x:c>
      <x:c r="I46" t="n">
        <x:v>4</x:v>
      </x:c>
      <x:c r="J46" t="n">
        <x:v>4</x:v>
      </x:c>
      <x:c r="K46" t="str">
        <x:f>IF(OR(H46="Pending",H46="Processing"),"Open",IF(I46&lt;=J46,"Yes","No"))</x:f>
        <x:v>Open</x:v>
      </x:c>
      <x:c r="L46" t="str"/>
      <x:c r="M46" s="12" t="n">
        <x:v>46147</x:v>
      </x:c>
      <x:c r="N46" s="12"/>
      <x:c r="O46" t="str">
        <x:v>No</x:v>
      </x:c>
      <x:c r="P46" t="str">
        <x:v>High</x:v>
      </x:c>
    </x:row>
    <x:row r="47">
      <x:c r="A47" t="str">
        <x:v>FIL-20260046</x:v>
      </x:c>
      <x:c r="B47" t="str">
        <x:v>BrightPath Services LLP</x:v>
      </x:c>
      <x:c r="C47" t="str">
        <x:v>LLP</x:v>
      </x:c>
      <x:c r="D47" t="str">
        <x:v>Georgia</x:v>
      </x:c>
      <x:c r="E47" t="str">
        <x:v>Limited Liability Partnership Registration</x:v>
      </x:c>
      <x:c r="F47" t="str">
        <x:v>Mail</x:v>
      </x:c>
      <x:c r="G47" t="str">
        <x:v>Southeast Processing Team</x:v>
      </x:c>
      <x:c r="H47" t="str">
        <x:v>Pending</x:v>
      </x:c>
      <x:c r="I47" t="n">
        <x:v>4</x:v>
      </x:c>
      <x:c r="J47" t="n">
        <x:v>6</x:v>
      </x:c>
      <x:c r="K47" t="str">
        <x:f>IF(OR(H47="Pending",H47="Processing"),"Open",IF(I47&lt;=J47,"Yes","No"))</x:f>
        <x:v>Open</x:v>
      </x:c>
      <x:c r="L47" t="str"/>
      <x:c r="M47" s="12" t="n">
        <x:v>46076</x:v>
      </x:c>
      <x:c r="N47" s="12"/>
      <x:c r="O47" t="str">
        <x:v>No</x:v>
      </x:c>
      <x:c r="P47" t="str">
        <x:v>Standard</x:v>
      </x:c>
    </x:row>
    <x:row r="48">
      <x:c r="A48" t="str">
        <x:v>FIL-20260047</x:v>
      </x:c>
      <x:c r="B48" t="str">
        <x:v>Atlantic Resources LLC</x:v>
      </x:c>
      <x:c r="C48" t="str">
        <x:v>LLC</x:v>
      </x:c>
      <x:c r="D48" t="str">
        <x:v>Georgia</x:v>
      </x:c>
      <x:c r="E48" t="str">
        <x:v>Foreign LLC Qualification</x:v>
      </x:c>
      <x:c r="F48" t="str">
        <x:v>Mail</x:v>
      </x:c>
      <x:c r="G48" t="str">
        <x:v>Southeast Processing Team</x:v>
      </x:c>
      <x:c r="H48" t="str">
        <x:v>Completed</x:v>
      </x:c>
      <x:c r="I48" t="n">
        <x:v>10</x:v>
      </x:c>
      <x:c r="J48" t="n">
        <x:v>6</x:v>
      </x:c>
      <x:c r="K48" t="str">
        <x:f>IF(OR(H48="Pending",H48="Processing"),"Open",IF(I48&lt;=J48,"Yes","No"))</x:f>
        <x:v>No</x:v>
      </x:c>
      <x:c r="L48" t="str"/>
      <x:c r="M48" s="12" t="n">
        <x:v>46181</x:v>
      </x:c>
      <x:c r="N48" s="12" t="n">
        <x:v>46191</x:v>
      </x:c>
      <x:c r="O48" t="str">
        <x:v>No</x:v>
      </x:c>
      <x:c r="P48" t="str">
        <x:v>High</x:v>
      </x:c>
    </x:row>
    <x:row r="49">
      <x:c r="A49" t="str">
        <x:v>FIL-20260048</x:v>
      </x:c>
      <x:c r="B49" t="str">
        <x:v>Horizon Solutions L.L.C.</x:v>
      </x:c>
      <x:c r="C49" t="str">
        <x:v>LLC</x:v>
      </x:c>
      <x:c r="D49" t="str">
        <x:v>New York</x:v>
      </x:c>
      <x:c r="E49" t="str">
        <x:v>Foreign LLC Qualification</x:v>
      </x:c>
      <x:c r="F49" t="str">
        <x:v>Online</x:v>
      </x:c>
      <x:c r="G49" t="str">
        <x:v>Northeast Processing Team</x:v>
      </x:c>
      <x:c r="H49" t="str">
        <x:v>Completed</x:v>
      </x:c>
      <x:c r="I49" t="n">
        <x:v>4</x:v>
      </x:c>
      <x:c r="J49" t="n">
        <x:v>5</x:v>
      </x:c>
      <x:c r="K49" t="str">
        <x:f>IF(OR(H49="Pending",H49="Processing"),"Open",IF(I49&lt;=J49,"Yes","No"))</x:f>
        <x:v>Yes</x:v>
      </x:c>
      <x:c r="L49" t="str"/>
      <x:c r="M49" s="12" t="n">
        <x:v>46191</x:v>
      </x:c>
      <x:c r="N49" s="12" t="n">
        <x:v>46195</x:v>
      </x:c>
      <x:c r="O49" t="str">
        <x:v>Yes</x:v>
      </x:c>
      <x:c r="P49" t="str">
        <x:v>Standard</x:v>
      </x:c>
    </x:row>
    <x:row r="50">
      <x:c r="A50" t="str">
        <x:v>FIL-20260049</x:v>
      </x:c>
      <x:c r="B50" t="str">
        <x:v>Horizon Logistics L.L.P.</x:v>
      </x:c>
      <x:c r="C50" t="str">
        <x:v>LLP</x:v>
      </x:c>
      <x:c r="D50" t="str">
        <x:v>Georgia</x:v>
      </x:c>
      <x:c r="E50" t="str">
        <x:v>Limited Liability Partnership Registration</x:v>
      </x:c>
      <x:c r="F50" t="str">
        <x:v>Mail</x:v>
      </x:c>
      <x:c r="G50" t="str">
        <x:v>Southeast Processing Team</x:v>
      </x:c>
      <x:c r="H50" t="str">
        <x:v>Pending</x:v>
      </x:c>
      <x:c r="I50" t="n">
        <x:v>9</x:v>
      </x:c>
      <x:c r="J50" t="n">
        <x:v>6</x:v>
      </x:c>
      <x:c r="K50" t="str">
        <x:f>IF(OR(H50="Pending",H50="Processing"),"Open",IF(I50&lt;=J50,"Yes","No"))</x:f>
        <x:v>Open</x:v>
      </x:c>
      <x:c r="L50" t="str"/>
      <x:c r="M50" s="12" t="n">
        <x:v>46065</x:v>
      </x:c>
      <x:c r="N50" s="12"/>
      <x:c r="O50" t="str">
        <x:v>No</x:v>
      </x:c>
      <x:c r="P50" t="str">
        <x:v>Standard</x:v>
      </x:c>
    </x:row>
    <x:row r="51">
      <x:c r="A51" t="str">
        <x:v>FIL-20260050</x:v>
      </x:c>
      <x:c r="B51" t="str">
        <x:v>Legacy Enterprises L.L.C.</x:v>
      </x:c>
      <x:c r="C51" t="str">
        <x:v>LLC</x:v>
      </x:c>
      <x:c r="D51" t="str">
        <x:v>Florida</x:v>
      </x:c>
      <x:c r="E51" t="str">
        <x:v>LLC Amendment</x:v>
      </x:c>
      <x:c r="F51" t="str">
        <x:v>Online</x:v>
      </x:c>
      <x:c r="G51" t="str">
        <x:v>Florida Online Fulfillment</x:v>
      </x:c>
      <x:c r="H51" t="str">
        <x:v>Pending</x:v>
      </x:c>
      <x:c r="I51" t="n">
        <x:v>6</x:v>
      </x:c>
      <x:c r="J51" t="n">
        <x:v>3</x:v>
      </x:c>
      <x:c r="K51" t="str">
        <x:f>IF(OR(H51="Pending",H51="Processing"),"Open",IF(I51&lt;=J51,"Yes","No"))</x:f>
        <x:v>Open</x:v>
      </x:c>
      <x:c r="L51" t="str"/>
      <x:c r="M51" s="12" t="n">
        <x:v>46162</x:v>
      </x:c>
      <x:c r="N51" s="12"/>
      <x:c r="O51" t="str">
        <x:v>No</x:v>
      </x:c>
      <x:c r="P51" t="str">
        <x:v>Standard</x:v>
      </x:c>
    </x:row>
    <x:row r="52">
      <x:c r="A52" t="str">
        <x:v>FIL-20260051</x:v>
      </x:c>
      <x:c r="B52" t="str">
        <x:v>First State Services</x:v>
      </x:c>
      <x:c r="C52" t="str">
        <x:v>Fictitious Name</x:v>
      </x:c>
      <x:c r="D52" t="str">
        <x:v>Florida</x:v>
      </x:c>
      <x:c r="E52" t="str">
        <x:v>Fictitious Name Registration</x:v>
      </x:c>
      <x:c r="F52" t="str">
        <x:v>OTC</x:v>
      </x:c>
      <x:c r="G52" t="str">
        <x:v>Florida OTC Fulfillment</x:v>
      </x:c>
      <x:c r="H52" t="str">
        <x:v>Completed</x:v>
      </x:c>
      <x:c r="I52" t="n">
        <x:v>2</x:v>
      </x:c>
      <x:c r="J52" t="n">
        <x:v>3</x:v>
      </x:c>
      <x:c r="K52" t="str">
        <x:f>IF(OR(H52="Pending",H52="Processing"),"Open",IF(I52&lt;=J52,"Yes","No"))</x:f>
        <x:v>Yes</x:v>
      </x:c>
      <x:c r="L52" t="str"/>
      <x:c r="M52" s="12" t="n">
        <x:v>46067</x:v>
      </x:c>
      <x:c r="N52" s="12" t="n">
        <x:v>46069</x:v>
      </x:c>
      <x:c r="O52" t="str">
        <x:v>No</x:v>
      </x:c>
      <x:c r="P52" t="str">
        <x:v>Standard</x:v>
      </x:c>
    </x:row>
    <x:row r="53">
      <x:c r="A53" t="str">
        <x:v>FIL-20260052</x:v>
      </x:c>
      <x:c r="B53" t="str">
        <x:v>Liberty Ventures L.P.</x:v>
      </x:c>
      <x:c r="C53" t="str">
        <x:v>LP</x:v>
      </x:c>
      <x:c r="D53" t="str">
        <x:v>Florida</x:v>
      </x:c>
      <x:c r="E53" t="str">
        <x:v>Limited Partnership Formation</x:v>
      </x:c>
      <x:c r="F53" t="str">
        <x:v>Online</x:v>
      </x:c>
      <x:c r="G53" t="str">
        <x:v>Florida Online Fulfillment</x:v>
      </x:c>
      <x:c r="H53" t="str">
        <x:v>Returned</x:v>
      </x:c>
      <x:c r="I53" t="n">
        <x:v>7</x:v>
      </x:c>
      <x:c r="J53" t="n">
        <x:v>3</x:v>
      </x:c>
      <x:c r="K53" t="str">
        <x:f>IF(OR(H53="Pending",H53="Processing"),"Open",IF(I53&lt;=J53,"Yes","No"))</x:f>
        <x:v>No</x:v>
      </x:c>
      <x:c r="L53" t="str">
        <x:v>Missing Cover Letter</x:v>
      </x:c>
      <x:c r="M53" s="12" t="n">
        <x:v>46135</x:v>
      </x:c>
      <x:c r="N53" s="12"/>
      <x:c r="O53" t="str">
        <x:v>No</x:v>
      </x:c>
      <x:c r="P53" t="str">
        <x:v>Standard</x:v>
      </x:c>
    </x:row>
    <x:row r="54">
      <x:c r="A54" t="str">
        <x:v>FIL-20260053</x:v>
      </x:c>
      <x:c r="B54" t="str">
        <x:v>Harbor Services L.L.C.</x:v>
      </x:c>
      <x:c r="C54" t="str">
        <x:v>LLC</x:v>
      </x:c>
      <x:c r="D54" t="str">
        <x:v>Georgia</x:v>
      </x:c>
      <x:c r="E54" t="str">
        <x:v>LLC Formation</x:v>
      </x:c>
      <x:c r="F54" t="str">
        <x:v>Online</x:v>
      </x:c>
      <x:c r="G54" t="str">
        <x:v>Southeast Processing Team</x:v>
      </x:c>
      <x:c r="H54" t="str">
        <x:v>Rejected</x:v>
      </x:c>
      <x:c r="I54" t="n">
        <x:v>6</x:v>
      </x:c>
      <x:c r="J54" t="n">
        <x:v>4</x:v>
      </x:c>
      <x:c r="K54" t="str">
        <x:f>IF(OR(H54="Pending",H54="Processing"),"Open",IF(I54&lt;=J54,"Yes","No"))</x:f>
        <x:v>No</x:v>
      </x:c>
      <x:c r="L54" t="str">
        <x:v>Incorrect Suffix</x:v>
      </x:c>
      <x:c r="M54" s="12" t="n">
        <x:v>46051</x:v>
      </x:c>
      <x:c r="N54" s="12"/>
      <x:c r="O54" t="str">
        <x:v>No</x:v>
      </x:c>
      <x:c r="P54" t="str">
        <x:v>Standard</x:v>
      </x:c>
    </x:row>
    <x:row r="55">
      <x:c r="A55" t="str">
        <x:v>FIL-20260054</x:v>
      </x:c>
      <x:c r="B55" t="str">
        <x:v>Summit Enterprises Corporation</x:v>
      </x:c>
      <x:c r="C55" t="str">
        <x:v>Profit Corporation</x:v>
      </x:c>
      <x:c r="D55" t="str">
        <x:v>Florida</x:v>
      </x:c>
      <x:c r="E55" t="str">
        <x:v>Profit Corporation Formation</x:v>
      </x:c>
      <x:c r="F55" t="str">
        <x:v>OTC</x:v>
      </x:c>
      <x:c r="G55" t="str">
        <x:v>Florida OTC Fulfillment</x:v>
      </x:c>
      <x:c r="H55" t="str">
        <x:v>Completed</x:v>
      </x:c>
      <x:c r="I55" t="n">
        <x:v>7</x:v>
      </x:c>
      <x:c r="J55" t="n">
        <x:v>3</x:v>
      </x:c>
      <x:c r="K55" t="str">
        <x:f>IF(OR(H55="Pending",H55="Processing"),"Open",IF(I55&lt;=J55,"Yes","No"))</x:f>
        <x:v>No</x:v>
      </x:c>
      <x:c r="L55" t="str"/>
      <x:c r="M55" s="12" t="n">
        <x:v>46057</x:v>
      </x:c>
      <x:c r="N55" s="12" t="n">
        <x:v>46064</x:v>
      </x:c>
      <x:c r="O55" t="str">
        <x:v>No</x:v>
      </x:c>
      <x:c r="P55" t="str">
        <x:v>Standard</x:v>
      </x:c>
    </x:row>
    <x:row r="56">
      <x:c r="A56" t="str">
        <x:v>FIL-20260055</x:v>
      </x:c>
      <x:c r="B56" t="str">
        <x:v>NorthStar Ventures LLC</x:v>
      </x:c>
      <x:c r="C56" t="str">
        <x:v>LLC</x:v>
      </x:c>
      <x:c r="D56" t="str">
        <x:v>Virginia</x:v>
      </x:c>
      <x:c r="E56" t="str">
        <x:v>Certificate of Status Request</x:v>
      </x:c>
      <x:c r="F56" t="str">
        <x:v>Mail</x:v>
      </x:c>
      <x:c r="G56" t="str">
        <x:v>Virginia Processing Team</x:v>
      </x:c>
      <x:c r="H56" t="str">
        <x:v>Rejected</x:v>
      </x:c>
      <x:c r="I56" t="n">
        <x:v>1</x:v>
      </x:c>
      <x:c r="J56" t="n">
        <x:v>6</x:v>
      </x:c>
      <x:c r="K56" t="str">
        <x:f>IF(OR(H56="Pending",H56="Processing"),"Open",IF(I56&lt;=J56,"Yes","No"))</x:f>
        <x:v>Yes</x:v>
      </x:c>
      <x:c r="L56" t="str">
        <x:v>Address Mismatch</x:v>
      </x:c>
      <x:c r="M56" s="12" t="n">
        <x:v>46085</x:v>
      </x:c>
      <x:c r="N56" s="12"/>
      <x:c r="O56" t="str">
        <x:v>No</x:v>
      </x:c>
      <x:c r="P56" t="str">
        <x:v>Standard</x:v>
      </x:c>
    </x:row>
    <x:row r="57">
      <x:c r="A57" t="str">
        <x:v>FIL-20260056</x:v>
      </x:c>
      <x:c r="B57" t="str">
        <x:v>Metro Consulting LLC</x:v>
      </x:c>
      <x:c r="C57" t="str">
        <x:v>LLC</x:v>
      </x:c>
      <x:c r="D57" t="str">
        <x:v>Florida</x:v>
      </x:c>
      <x:c r="E57" t="str">
        <x:v>Annual Report</x:v>
      </x:c>
      <x:c r="F57" t="str">
        <x:v>Online</x:v>
      </x:c>
      <x:c r="G57" t="str">
        <x:v>Florida Online Fulfillment</x:v>
      </x:c>
      <x:c r="H57" t="str">
        <x:v>Pending</x:v>
      </x:c>
      <x:c r="I57" t="n">
        <x:v>0</x:v>
      </x:c>
      <x:c r="J57" t="n">
        <x:v>3</x:v>
      </x:c>
      <x:c r="K57" t="str">
        <x:f>IF(OR(H57="Pending",H57="Processing"),"Open",IF(I57&lt;=J57,"Yes","No"))</x:f>
        <x:v>Open</x:v>
      </x:c>
      <x:c r="L57" t="str"/>
      <x:c r="M57" s="12" t="n">
        <x:v>46102</x:v>
      </x:c>
      <x:c r="N57" s="12"/>
      <x:c r="O57" t="str">
        <x:v>No</x:v>
      </x:c>
      <x:c r="P57" t="str">
        <x:v>Standard</x:v>
      </x:c>
    </x:row>
    <x:row r="58">
      <x:c r="A58" t="str">
        <x:v>FIL-20260057</x:v>
      </x:c>
      <x:c r="B58" t="str">
        <x:v>Sunrise Group L.P.</x:v>
      </x:c>
      <x:c r="C58" t="str">
        <x:v>LP</x:v>
      </x:c>
      <x:c r="D58" t="str">
        <x:v>California</x:v>
      </x:c>
      <x:c r="E58" t="str">
        <x:v>Annual Report</x:v>
      </x:c>
      <x:c r="F58" t="str">
        <x:v>Mail</x:v>
      </x:c>
      <x:c r="G58" t="str">
        <x:v>West Coast Processing Team</x:v>
      </x:c>
      <x:c r="H58" t="str">
        <x:v>Rejected</x:v>
      </x:c>
      <x:c r="I58" t="n">
        <x:v>5</x:v>
      </x:c>
      <x:c r="J58" t="n">
        <x:v>7</x:v>
      </x:c>
      <x:c r="K58" t="str">
        <x:f>IF(OR(H58="Pending",H58="Processing"),"Open",IF(I58&lt;=J58,"Yes","No"))</x:f>
        <x:v>Yes</x:v>
      </x:c>
      <x:c r="L58" t="str">
        <x:v>Incorrect Entity Name</x:v>
      </x:c>
      <x:c r="M58" s="12" t="n">
        <x:v>46034</x:v>
      </x:c>
      <x:c r="N58" s="12"/>
      <x:c r="O58" t="str">
        <x:v>No</x:v>
      </x:c>
      <x:c r="P58" t="str">
        <x:v>Standard</x:v>
      </x:c>
    </x:row>
    <x:row r="59">
      <x:c r="A59" t="str">
        <x:v>FIL-20260058</x:v>
      </x:c>
      <x:c r="B59" t="str">
        <x:v>Liberty Technologies LLC</x:v>
      </x:c>
      <x:c r="C59" t="str">
        <x:v>LLC</x:v>
      </x:c>
      <x:c r="D59" t="str">
        <x:v>Illinois</x:v>
      </x:c>
      <x:c r="E59" t="str">
        <x:v>Certificate of Status Request</x:v>
      </x:c>
      <x:c r="F59" t="str">
        <x:v>Online</x:v>
      </x:c>
      <x:c r="G59" t="str">
        <x:v>Illinois Online Fulfillment</x:v>
      </x:c>
      <x:c r="H59" t="str">
        <x:v>Completed</x:v>
      </x:c>
      <x:c r="I59" t="n">
        <x:v>7</x:v>
      </x:c>
      <x:c r="J59" t="n">
        <x:v>4</x:v>
      </x:c>
      <x:c r="K59" t="str">
        <x:f>IF(OR(H59="Pending",H59="Processing"),"Open",IF(I59&lt;=J59,"Yes","No"))</x:f>
        <x:v>No</x:v>
      </x:c>
      <x:c r="L59" t="str"/>
      <x:c r="M59" s="12" t="n">
        <x:v>46076</x:v>
      </x:c>
      <x:c r="N59" s="12" t="n">
        <x:v>46083</x:v>
      </x:c>
      <x:c r="O59" t="str">
        <x:v>Yes</x:v>
      </x:c>
      <x:c r="P59" t="str">
        <x:v>Standard</x:v>
      </x:c>
    </x:row>
    <x:row r="60">
      <x:c r="A60" t="str">
        <x:v>FIL-20260059</x:v>
      </x:c>
      <x:c r="B60" t="str">
        <x:v>Magnolia Studios LLC</x:v>
      </x:c>
      <x:c r="C60" t="str">
        <x:v>LLC</x:v>
      </x:c>
      <x:c r="D60" t="str">
        <x:v>Illinois</x:v>
      </x:c>
      <x:c r="E60" t="str">
        <x:v>LLC Amendment</x:v>
      </x:c>
      <x:c r="F60" t="str">
        <x:v>Expedited</x:v>
      </x:c>
      <x:c r="G60" t="str">
        <x:v>Illinois Fulfillment Team</x:v>
      </x:c>
      <x:c r="H60" t="str">
        <x:v>Pending</x:v>
      </x:c>
      <x:c r="I60" t="n">
        <x:v>0</x:v>
      </x:c>
      <x:c r="J60" t="n">
        <x:v>2</x:v>
      </x:c>
      <x:c r="K60" t="str">
        <x:f>IF(OR(H60="Pending",H60="Processing"),"Open",IF(I60&lt;=J60,"Yes","No"))</x:f>
        <x:v>Open</x:v>
      </x:c>
      <x:c r="L60" t="str"/>
      <x:c r="M60" s="12" t="n">
        <x:v>46137</x:v>
      </x:c>
      <x:c r="N60" s="12"/>
      <x:c r="O60" t="str">
        <x:v>Yes</x:v>
      </x:c>
      <x:c r="P60" t="str">
        <x:v>Standard</x:v>
      </x:c>
    </x:row>
    <x:row r="61">
      <x:c r="A61" t="str">
        <x:v>FIL-20260060</x:v>
      </x:c>
      <x:c r="B61" t="str">
        <x:v>Golden Coast Holdings</x:v>
      </x:c>
      <x:c r="C61" t="str">
        <x:v>Fictitious Name</x:v>
      </x:c>
      <x:c r="D61" t="str">
        <x:v>North Carolina</x:v>
      </x:c>
      <x:c r="E61" t="str">
        <x:v>Fictitious Name Registration</x:v>
      </x:c>
      <x:c r="F61" t="str">
        <x:v>Mail</x:v>
      </x:c>
      <x:c r="G61" t="str">
        <x:v>North Carolina Processing Team</x:v>
      </x:c>
      <x:c r="H61" t="str">
        <x:v>Completed</x:v>
      </x:c>
      <x:c r="I61" t="n">
        <x:v>3</x:v>
      </x:c>
      <x:c r="J61" t="n">
        <x:v>6</x:v>
      </x:c>
      <x:c r="K61" t="str">
        <x:f>IF(OR(H61="Pending",H61="Processing"),"Open",IF(I61&lt;=J61,"Yes","No"))</x:f>
        <x:v>Yes</x:v>
      </x:c>
      <x:c r="L61" t="str"/>
      <x:c r="M61" s="12" t="n">
        <x:v>46163</x:v>
      </x:c>
      <x:c r="N61" s="12" t="n">
        <x:v>46166</x:v>
      </x:c>
      <x:c r="O61" t="str">
        <x:v>No</x:v>
      </x:c>
      <x:c r="P61" t="str">
        <x:v>Standard</x:v>
      </x:c>
    </x:row>
    <x:row r="62">
      <x:c r="A62" t="str">
        <x:v>FIL-20260061</x:v>
      </x:c>
      <x:c r="B62" t="str">
        <x:v>Liberty Studios Corp.</x:v>
      </x:c>
      <x:c r="C62" t="str">
        <x:v>Profit Corporation</x:v>
      </x:c>
      <x:c r="D62" t="str">
        <x:v>Florida</x:v>
      </x:c>
      <x:c r="E62" t="str">
        <x:v>Corporation Amendment</x:v>
      </x:c>
      <x:c r="F62" t="str">
        <x:v>OTC</x:v>
      </x:c>
      <x:c r="G62" t="str">
        <x:v>Florida OTC Fulfillment</x:v>
      </x:c>
      <x:c r="H62" t="str">
        <x:v>Pending</x:v>
      </x:c>
      <x:c r="I62" t="n">
        <x:v>1</x:v>
      </x:c>
      <x:c r="J62" t="n">
        <x:v>3</x:v>
      </x:c>
      <x:c r="K62" t="str">
        <x:f>IF(OR(H62="Pending",H62="Processing"),"Open",IF(I62&lt;=J62,"Yes","No"))</x:f>
        <x:v>Open</x:v>
      </x:c>
      <x:c r="L62" t="str"/>
      <x:c r="M62" s="12" t="n">
        <x:v>46127</x:v>
      </x:c>
      <x:c r="N62" s="12"/>
      <x:c r="O62" t="str">
        <x:v>No</x:v>
      </x:c>
      <x:c r="P62" t="str">
        <x:v>Standard</x:v>
      </x:c>
    </x:row>
    <x:row r="63">
      <x:c r="A63" t="str">
        <x:v>FIL-20260062</x:v>
      </x:c>
      <x:c r="B63" t="str">
        <x:v>NorthStar Resources Inc.</x:v>
      </x:c>
      <x:c r="C63" t="str">
        <x:v>Profit Corporation</x:v>
      </x:c>
      <x:c r="D63" t="str">
        <x:v>Delaware</x:v>
      </x:c>
      <x:c r="E63" t="str">
        <x:v>Annual Report</x:v>
      </x:c>
      <x:c r="F63" t="str">
        <x:v>Expedited</x:v>
      </x:c>
      <x:c r="G63" t="str">
        <x:v>Delaware Processing Team</x:v>
      </x:c>
      <x:c r="H63" t="str">
        <x:v>Processing</x:v>
      </x:c>
      <x:c r="I63" t="n">
        <x:v>0</x:v>
      </x:c>
      <x:c r="J63" t="n">
        <x:v>1</x:v>
      </x:c>
      <x:c r="K63" t="str">
        <x:f>IF(OR(H63="Pending",H63="Processing"),"Open",IF(I63&lt;=J63,"Yes","No"))</x:f>
        <x:v>Open</x:v>
      </x:c>
      <x:c r="L63" t="str"/>
      <x:c r="M63" s="12" t="n">
        <x:v>46026</x:v>
      </x:c>
      <x:c r="N63" s="12"/>
      <x:c r="O63" t="str">
        <x:v>Yes</x:v>
      </x:c>
      <x:c r="P63" t="str">
        <x:v>Standard</x:v>
      </x:c>
    </x:row>
    <x:row r="64">
      <x:c r="A64" t="str">
        <x:v>FIL-20260063</x:v>
      </x:c>
      <x:c r="B64" t="str">
        <x:v>Crescent Analytics L.L.C.</x:v>
      </x:c>
      <x:c r="C64" t="str">
        <x:v>LLC</x:v>
      </x:c>
      <x:c r="D64" t="str">
        <x:v>Florida</x:v>
      </x:c>
      <x:c r="E64" t="str">
        <x:v>Foreign LLC Qualification</x:v>
      </x:c>
      <x:c r="F64" t="str">
        <x:v>Online</x:v>
      </x:c>
      <x:c r="G64" t="str">
        <x:v>Florida Online Fulfillment</x:v>
      </x:c>
      <x:c r="H64" t="str">
        <x:v>Completed</x:v>
      </x:c>
      <x:c r="I64" t="n">
        <x:v>3</x:v>
      </x:c>
      <x:c r="J64" t="n">
        <x:v>3</x:v>
      </x:c>
      <x:c r="K64" t="str">
        <x:f>IF(OR(H64="Pending",H64="Processing"),"Open",IF(I64&lt;=J64,"Yes","No"))</x:f>
        <x:v>Yes</x:v>
      </x:c>
      <x:c r="L64" t="str"/>
      <x:c r="M64" s="12" t="n">
        <x:v>46043</x:v>
      </x:c>
      <x:c r="N64" s="12" t="n">
        <x:v>46046</x:v>
      </x:c>
      <x:c r="O64" t="str">
        <x:v>No</x:v>
      </x:c>
      <x:c r="P64" t="str">
        <x:v>Standard</x:v>
      </x:c>
    </x:row>
    <x:row r="65">
      <x:c r="A65" t="str">
        <x:v>FIL-20260064</x:v>
      </x:c>
      <x:c r="B65" t="str">
        <x:v>Capital Analytics</x:v>
      </x:c>
      <x:c r="C65" t="str">
        <x:v>Fictitious Name</x:v>
      </x:c>
      <x:c r="D65" t="str">
        <x:v>Florida</x:v>
      </x:c>
      <x:c r="E65" t="str">
        <x:v>Fictitious Name Renewal</x:v>
      </x:c>
      <x:c r="F65" t="str">
        <x:v>Online</x:v>
      </x:c>
      <x:c r="G65" t="str">
        <x:v>Florida Online Fulfillment</x:v>
      </x:c>
      <x:c r="H65" t="str">
        <x:v>Completed</x:v>
      </x:c>
      <x:c r="I65" t="n">
        <x:v>7</x:v>
      </x:c>
      <x:c r="J65" t="n">
        <x:v>3</x:v>
      </x:c>
      <x:c r="K65" t="str">
        <x:f>IF(OR(H65="Pending",H65="Processing"),"Open",IF(I65&lt;=J65,"Yes","No"))</x:f>
        <x:v>No</x:v>
      </x:c>
      <x:c r="L65" t="str"/>
      <x:c r="M65" s="12" t="n">
        <x:v>46057</x:v>
      </x:c>
      <x:c r="N65" s="12" t="n">
        <x:v>46064</x:v>
      </x:c>
      <x:c r="O65" t="str">
        <x:v>No</x:v>
      </x:c>
      <x:c r="P65" t="str">
        <x:v>High</x:v>
      </x:c>
    </x:row>
    <x:row r="66">
      <x:c r="A66" t="str">
        <x:v>FIL-20260065</x:v>
      </x:c>
      <x:c r="B66" t="str">
        <x:v>Golden Coast Studios Corp.</x:v>
      </x:c>
      <x:c r="C66" t="str">
        <x:v>Profit Corporation</x:v>
      </x:c>
      <x:c r="D66" t="str">
        <x:v>Georgia</x:v>
      </x:c>
      <x:c r="E66" t="str">
        <x:v>Foreign Corporation Qualification</x:v>
      </x:c>
      <x:c r="F66" t="str">
        <x:v>Mail</x:v>
      </x:c>
      <x:c r="G66" t="str">
        <x:v>Southeast Processing Team</x:v>
      </x:c>
      <x:c r="H66" t="str">
        <x:v>Completed</x:v>
      </x:c>
      <x:c r="I66" t="n">
        <x:v>6</x:v>
      </x:c>
      <x:c r="J66" t="n">
        <x:v>6</x:v>
      </x:c>
      <x:c r="K66" t="str">
        <x:f>IF(OR(H66="Pending",H66="Processing"),"Open",IF(I66&lt;=J66,"Yes","No"))</x:f>
        <x:v>Yes</x:v>
      </x:c>
      <x:c r="L66" t="str"/>
      <x:c r="M66" s="12" t="n">
        <x:v>46082</x:v>
      </x:c>
      <x:c r="N66" s="12" t="n">
        <x:v>46088</x:v>
      </x:c>
      <x:c r="O66" t="str">
        <x:v>No</x:v>
      </x:c>
      <x:c r="P66" t="str">
        <x:v>Standard</x:v>
      </x:c>
    </x:row>
    <x:row r="67">
      <x:c r="A67" t="str">
        <x:v>FIL-20260066</x:v>
      </x:c>
      <x:c r="B67" t="str">
        <x:v>Blue Ridge Advisors LLC</x:v>
      </x:c>
      <x:c r="C67" t="str">
        <x:v>LLC</x:v>
      </x:c>
      <x:c r="D67" t="str">
        <x:v>Maryland</x:v>
      </x:c>
      <x:c r="E67" t="str">
        <x:v>LLC Amendment</x:v>
      </x:c>
      <x:c r="F67" t="str">
        <x:v>Online</x:v>
      </x:c>
      <x:c r="G67" t="str">
        <x:v>Maryland Processing Team</x:v>
      </x:c>
      <x:c r="H67" t="str">
        <x:v>Pending</x:v>
      </x:c>
      <x:c r="I67" t="n">
        <x:v>3</x:v>
      </x:c>
      <x:c r="J67" t="n">
        <x:v>4</x:v>
      </x:c>
      <x:c r="K67" t="str">
        <x:f>IF(OR(H67="Pending",H67="Processing"),"Open",IF(I67&lt;=J67,"Yes","No"))</x:f>
        <x:v>Open</x:v>
      </x:c>
      <x:c r="L67" t="str"/>
      <x:c r="M67" s="12" t="n">
        <x:v>46177</x:v>
      </x:c>
      <x:c r="N67" s="12"/>
      <x:c r="O67" t="str">
        <x:v>No</x:v>
      </x:c>
      <x:c r="P67" t="str">
        <x:v>High</x:v>
      </x:c>
    </x:row>
    <x:row r="68">
      <x:c r="A68" t="str">
        <x:v>FIL-20260067</x:v>
      </x:c>
      <x:c r="B68" t="str">
        <x:v>Blue Ridge Analytics</x:v>
      </x:c>
      <x:c r="C68" t="str">
        <x:v>Fictitious Name</x:v>
      </x:c>
      <x:c r="D68" t="str">
        <x:v>Florida</x:v>
      </x:c>
      <x:c r="E68" t="str">
        <x:v>Fictitious Name Registration</x:v>
      </x:c>
      <x:c r="F68" t="str">
        <x:v>OTC</x:v>
      </x:c>
      <x:c r="G68" t="str">
        <x:v>Florida OTC Fulfillment</x:v>
      </x:c>
      <x:c r="H68" t="str">
        <x:v>Pending</x:v>
      </x:c>
      <x:c r="I68" t="n">
        <x:v>0</x:v>
      </x:c>
      <x:c r="J68" t="n">
        <x:v>3</x:v>
      </x:c>
      <x:c r="K68" t="str">
        <x:f>IF(OR(H68="Pending",H68="Processing"),"Open",IF(I68&lt;=J68,"Yes","No"))</x:f>
        <x:v>Open</x:v>
      </x:c>
      <x:c r="L68" t="str"/>
      <x:c r="M68" s="12" t="n">
        <x:v>46128</x:v>
      </x:c>
      <x:c r="N68" s="12"/>
      <x:c r="O68" t="str">
        <x:v>No</x:v>
      </x:c>
      <x:c r="P68" t="str">
        <x:v>Standard</x:v>
      </x:c>
    </x:row>
    <x:row r="69">
      <x:c r="A69" t="str">
        <x:v>FIL-20260068</x:v>
      </x:c>
      <x:c r="B69" t="str">
        <x:v>NorthStar Partners</x:v>
      </x:c>
      <x:c r="C69" t="str">
        <x:v>Fictitious Name</x:v>
      </x:c>
      <x:c r="D69" t="str">
        <x:v>North Carolina</x:v>
      </x:c>
      <x:c r="E69" t="str">
        <x:v>Fictitious Name Renewal</x:v>
      </x:c>
      <x:c r="F69" t="str">
        <x:v>Mail</x:v>
      </x:c>
      <x:c r="G69" t="str">
        <x:v>North Carolina Processing Team</x:v>
      </x:c>
      <x:c r="H69" t="str">
        <x:v>Completed</x:v>
      </x:c>
      <x:c r="I69" t="n">
        <x:v>1</x:v>
      </x:c>
      <x:c r="J69" t="n">
        <x:v>6</x:v>
      </x:c>
      <x:c r="K69" t="str">
        <x:f>IF(OR(H69="Pending",H69="Processing"),"Open",IF(I69&lt;=J69,"Yes","No"))</x:f>
        <x:v>Yes</x:v>
      </x:c>
      <x:c r="L69" t="str"/>
      <x:c r="M69" s="12" t="n">
        <x:v>46025</x:v>
      </x:c>
      <x:c r="N69" s="12" t="n">
        <x:v>46026</x:v>
      </x:c>
      <x:c r="O69" t="str">
        <x:v>No</x:v>
      </x:c>
      <x:c r="P69" t="str">
        <x:v>High</x:v>
      </x:c>
    </x:row>
    <x:row r="70">
      <x:c r="A70" t="str">
        <x:v>FIL-20260069</x:v>
      </x:c>
      <x:c r="B70" t="str">
        <x:v>NorthStar Technologies Inc.</x:v>
      </x:c>
      <x:c r="C70" t="str">
        <x:v>Profit Corporation</x:v>
      </x:c>
      <x:c r="D70" t="str">
        <x:v>Florida</x:v>
      </x:c>
      <x:c r="E70" t="str">
        <x:v>Corporation Dissolution</x:v>
      </x:c>
      <x:c r="F70" t="str">
        <x:v>Online</x:v>
      </x:c>
      <x:c r="G70" t="str">
        <x:v>Florida Online Fulfillment</x:v>
      </x:c>
      <x:c r="H70" t="str">
        <x:v>Completed</x:v>
      </x:c>
      <x:c r="I70" t="n">
        <x:v>5</x:v>
      </x:c>
      <x:c r="J70" t="n">
        <x:v>3</x:v>
      </x:c>
      <x:c r="K70" t="str">
        <x:f>IF(OR(H70="Pending",H70="Processing"),"Open",IF(I70&lt;=J70,"Yes","No"))</x:f>
        <x:v>No</x:v>
      </x:c>
      <x:c r="L70" t="str"/>
      <x:c r="M70" s="12" t="n">
        <x:v>46169</x:v>
      </x:c>
      <x:c r="N70" s="12" t="n">
        <x:v>46174</x:v>
      </x:c>
      <x:c r="O70" t="str">
        <x:v>No</x:v>
      </x:c>
      <x:c r="P70" t="str">
        <x:v>High</x:v>
      </x:c>
    </x:row>
    <x:row r="71">
      <x:c r="A71" t="str">
        <x:v>FIL-20260070</x:v>
      </x:c>
      <x:c r="B71" t="str">
        <x:v>Blue Ridge Compliance LP</x:v>
      </x:c>
      <x:c r="C71" t="str">
        <x:v>LP</x:v>
      </x:c>
      <x:c r="D71" t="str">
        <x:v>Illinois</x:v>
      </x:c>
      <x:c r="E71" t="str">
        <x:v>Merger Filing</x:v>
      </x:c>
      <x:c r="F71" t="str">
        <x:v>Expedited</x:v>
      </x:c>
      <x:c r="G71" t="str">
        <x:v>Illinois Fulfillment Team</x:v>
      </x:c>
      <x:c r="H71" t="str">
        <x:v>Completed</x:v>
      </x:c>
      <x:c r="I71" t="n">
        <x:v>6</x:v>
      </x:c>
      <x:c r="J71" t="n">
        <x:v>2</x:v>
      </x:c>
      <x:c r="K71" t="str">
        <x:f>IF(OR(H71="Pending",H71="Processing"),"Open",IF(I71&lt;=J71,"Yes","No"))</x:f>
        <x:v>No</x:v>
      </x:c>
      <x:c r="L71" t="str"/>
      <x:c r="M71" s="12" t="n">
        <x:v>46091</x:v>
      </x:c>
      <x:c r="N71" s="12" t="n">
        <x:v>46097</x:v>
      </x:c>
      <x:c r="O71" t="str">
        <x:v>Yes</x:v>
      </x:c>
      <x:c r="P71" t="str">
        <x:v>High</x:v>
      </x:c>
    </x:row>
    <x:row r="72">
      <x:c r="A72" t="str">
        <x:v>FIL-20260071</x:v>
      </x:c>
      <x:c r="B72" t="str">
        <x:v>Magnolia Advisors P.L.L.C.</x:v>
      </x:c>
      <x:c r="C72" t="str">
        <x:v>PLLC</x:v>
      </x:c>
      <x:c r="D72" t="str">
        <x:v>North Carolina</x:v>
      </x:c>
      <x:c r="E72" t="str">
        <x:v>Principal Address Update</x:v>
      </x:c>
      <x:c r="F72" t="str">
        <x:v>Mail</x:v>
      </x:c>
      <x:c r="G72" t="str">
        <x:v>North Carolina Processing Team</x:v>
      </x:c>
      <x:c r="H72" t="str">
        <x:v>Completed</x:v>
      </x:c>
      <x:c r="I72" t="n">
        <x:v>3</x:v>
      </x:c>
      <x:c r="J72" t="n">
        <x:v>6</x:v>
      </x:c>
      <x:c r="K72" t="str">
        <x:f>IF(OR(H72="Pending",H72="Processing"),"Open",IF(I72&lt;=J72,"Yes","No"))</x:f>
        <x:v>Yes</x:v>
      </x:c>
      <x:c r="L72" t="str"/>
      <x:c r="M72" s="12" t="n">
        <x:v>46066</x:v>
      </x:c>
      <x:c r="N72" s="12" t="n">
        <x:v>46069</x:v>
      </x:c>
      <x:c r="O72" t="str">
        <x:v>No</x:v>
      </x:c>
      <x:c r="P72" t="str">
        <x:v>Standard</x:v>
      </x:c>
    </x:row>
    <x:row r="73">
      <x:c r="A73" t="str">
        <x:v>FIL-20260072</x:v>
      </x:c>
      <x:c r="B73" t="str">
        <x:v>Evergreen Development</x:v>
      </x:c>
      <x:c r="C73" t="str">
        <x:v>Fictitious Name</x:v>
      </x:c>
      <x:c r="D73" t="str">
        <x:v>North Carolina</x:v>
      </x:c>
      <x:c r="E73" t="str">
        <x:v>Fictitious Name Registration</x:v>
      </x:c>
      <x:c r="F73" t="str">
        <x:v>Online</x:v>
      </x:c>
      <x:c r="G73" t="str">
        <x:v>North Carolina Processing Team</x:v>
      </x:c>
      <x:c r="H73" t="str">
        <x:v>Returned</x:v>
      </x:c>
      <x:c r="I73" t="n">
        <x:v>3</x:v>
      </x:c>
      <x:c r="J73" t="n">
        <x:v>4</x:v>
      </x:c>
      <x:c r="K73" t="str">
        <x:f>IF(OR(H73="Pending",H73="Processing"),"Open",IF(I73&lt;=J73,"Yes","No"))</x:f>
        <x:v>Yes</x:v>
      </x:c>
      <x:c r="L73" t="str">
        <x:v>Missing Signature</x:v>
      </x:c>
      <x:c r="M73" s="12" t="n">
        <x:v>46158</x:v>
      </x:c>
      <x:c r="N73" s="12"/>
      <x:c r="O73" t="str">
        <x:v>No</x:v>
      </x:c>
      <x:c r="P73" t="str">
        <x:v>High</x:v>
      </x:c>
    </x:row>
    <x:row r="74">
      <x:c r="A74" t="str">
        <x:v>FIL-20260073</x:v>
      </x:c>
      <x:c r="B74" t="str">
        <x:v>Oakmont Development Corporation</x:v>
      </x:c>
      <x:c r="C74" t="str">
        <x:v>Profit Corporation</x:v>
      </x:c>
      <x:c r="D74" t="str">
        <x:v>California</x:v>
      </x:c>
      <x:c r="E74" t="str">
        <x:v>Corporation Amendment</x:v>
      </x:c>
      <x:c r="F74" t="str">
        <x:v>Online</x:v>
      </x:c>
      <x:c r="G74" t="str">
        <x:v>West Coast Processing Team</x:v>
      </x:c>
      <x:c r="H74" t="str">
        <x:v>Rejected</x:v>
      </x:c>
      <x:c r="I74" t="n">
        <x:v>4</x:v>
      </x:c>
      <x:c r="J74" t="n">
        <x:v>5</x:v>
      </x:c>
      <x:c r="K74" t="str">
        <x:f>IF(OR(H74="Pending",H74="Processing"),"Open",IF(I74&lt;=J74,"Yes","No"))</x:f>
        <x:v>Yes</x:v>
      </x:c>
      <x:c r="L74" t="str">
        <x:v>Document Quality Unacceptable</x:v>
      </x:c>
      <x:c r="M74" s="12" t="n">
        <x:v>46059</x:v>
      </x:c>
      <x:c r="N74" s="12"/>
      <x:c r="O74" t="str">
        <x:v>No</x:v>
      </x:c>
      <x:c r="P74" t="str">
        <x:v>High</x:v>
      </x:c>
    </x:row>
    <x:row r="75">
      <x:c r="A75" t="str">
        <x:v>FIL-20260074</x:v>
      </x:c>
      <x:c r="B75" t="str">
        <x:v>Capital Properties LLC</x:v>
      </x:c>
      <x:c r="C75" t="str">
        <x:v>LLC</x:v>
      </x:c>
      <x:c r="D75" t="str">
        <x:v>Maryland</x:v>
      </x:c>
      <x:c r="E75" t="str">
        <x:v>LLC Formation</x:v>
      </x:c>
      <x:c r="F75" t="str">
        <x:v>Online</x:v>
      </x:c>
      <x:c r="G75" t="str">
        <x:v>Maryland Processing Team</x:v>
      </x:c>
      <x:c r="H75" t="str">
        <x:v>Processing</x:v>
      </x:c>
      <x:c r="I75" t="n">
        <x:v>4</x:v>
      </x:c>
      <x:c r="J75" t="n">
        <x:v>4</x:v>
      </x:c>
      <x:c r="K75" t="str">
        <x:f>IF(OR(H75="Pending",H75="Processing"),"Open",IF(I75&lt;=J75,"Yes","No"))</x:f>
        <x:v>Open</x:v>
      </x:c>
      <x:c r="L75" t="str"/>
      <x:c r="M75" s="12" t="n">
        <x:v>46156</x:v>
      </x:c>
      <x:c r="N75" s="12"/>
      <x:c r="O75" t="str">
        <x:v>No</x:v>
      </x:c>
      <x:c r="P75" t="str">
        <x:v>Standard</x:v>
      </x:c>
    </x:row>
    <x:row r="76">
      <x:c r="A76" t="str">
        <x:v>FIL-20260075</x:v>
      </x:c>
      <x:c r="B76" t="str">
        <x:v>Harbor Enterprises L.L.C.</x:v>
      </x:c>
      <x:c r="C76" t="str">
        <x:v>LLC</x:v>
      </x:c>
      <x:c r="D76" t="str">
        <x:v>North Carolina</x:v>
      </x:c>
      <x:c r="E76" t="str">
        <x:v>LLC Dissolution</x:v>
      </x:c>
      <x:c r="F76" t="str">
        <x:v>Online</x:v>
      </x:c>
      <x:c r="G76" t="str">
        <x:v>North Carolina Processing Team</x:v>
      </x:c>
      <x:c r="H76" t="str">
        <x:v>Pending</x:v>
      </x:c>
      <x:c r="I76" t="n">
        <x:v>0</x:v>
      </x:c>
      <x:c r="J76" t="n">
        <x:v>4</x:v>
      </x:c>
      <x:c r="K76" t="str">
        <x:f>IF(OR(H76="Pending",H76="Processing"),"Open",IF(I76&lt;=J76,"Yes","No"))</x:f>
        <x:v>Open</x:v>
      </x:c>
      <x:c r="L76" t="str"/>
      <x:c r="M76" s="12" t="n">
        <x:v>46077</x:v>
      </x:c>
      <x:c r="N76" s="12"/>
      <x:c r="O76" t="str">
        <x:v>No</x:v>
      </x:c>
      <x:c r="P76" t="str">
        <x:v>Standard</x:v>
      </x:c>
    </x:row>
    <x:row r="77">
      <x:c r="A77" t="str">
        <x:v>FIL-20260076</x:v>
      </x:c>
      <x:c r="B77" t="str">
        <x:v>Golden Coast Healthcare</x:v>
      </x:c>
      <x:c r="C77" t="str">
        <x:v>Fictitious Name</x:v>
      </x:c>
      <x:c r="D77" t="str">
        <x:v>North Carolina</x:v>
      </x:c>
      <x:c r="E77" t="str">
        <x:v>Fictitious Name Renewal</x:v>
      </x:c>
      <x:c r="F77" t="str">
        <x:v>Mail</x:v>
      </x:c>
      <x:c r="G77" t="str">
        <x:v>North Carolina Processing Team</x:v>
      </x:c>
      <x:c r="H77" t="str">
        <x:v>Completed</x:v>
      </x:c>
      <x:c r="I77" t="n">
        <x:v>1</x:v>
      </x:c>
      <x:c r="J77" t="n">
        <x:v>6</x:v>
      </x:c>
      <x:c r="K77" t="str">
        <x:f>IF(OR(H77="Pending",H77="Processing"),"Open",IF(I77&lt;=J77,"Yes","No"))</x:f>
        <x:v>Yes</x:v>
      </x:c>
      <x:c r="L77" t="str"/>
      <x:c r="M77" s="12" t="n">
        <x:v>46153</x:v>
      </x:c>
      <x:c r="N77" s="12" t="n">
        <x:v>46154</x:v>
      </x:c>
      <x:c r="O77" t="str">
        <x:v>No</x:v>
      </x:c>
      <x:c r="P77" t="str">
        <x:v>Standard</x:v>
      </x:c>
    </x:row>
    <x:row r="78">
      <x:c r="A78" t="str">
        <x:v>FIL-20260077</x:v>
      </x:c>
      <x:c r="B78" t="str">
        <x:v>Sunrise Systems Association Inc.</x:v>
      </x:c>
      <x:c r="C78" t="str">
        <x:v>Nonprofit Corporation</x:v>
      </x:c>
      <x:c r="D78" t="str">
        <x:v>California</x:v>
      </x:c>
      <x:c r="E78" t="str">
        <x:v>Annual Report</x:v>
      </x:c>
      <x:c r="F78" t="str">
        <x:v>Online</x:v>
      </x:c>
      <x:c r="G78" t="str">
        <x:v>West Coast Processing Team</x:v>
      </x:c>
      <x:c r="H78" t="str">
        <x:v>Completed</x:v>
      </x:c>
      <x:c r="I78" t="n">
        <x:v>7</x:v>
      </x:c>
      <x:c r="J78" t="n">
        <x:v>5</x:v>
      </x:c>
      <x:c r="K78" t="str">
        <x:f>IF(OR(H78="Pending",H78="Processing"),"Open",IF(I78&lt;=J78,"Yes","No"))</x:f>
        <x:v>No</x:v>
      </x:c>
      <x:c r="L78" t="str"/>
      <x:c r="M78" s="12" t="n">
        <x:v>46152</x:v>
      </x:c>
      <x:c r="N78" s="12" t="n">
        <x:v>46159</x:v>
      </x:c>
      <x:c r="O78" t="str">
        <x:v>No</x:v>
      </x:c>
      <x:c r="P78" t="str">
        <x:v>Standard</x:v>
      </x:c>
    </x:row>
    <x:row r="79">
      <x:c r="A79" t="str">
        <x:v>FIL-20260078</x:v>
      </x:c>
      <x:c r="B79" t="str">
        <x:v>Crescent Holdings Corp.</x:v>
      </x:c>
      <x:c r="C79" t="str">
        <x:v>Profit Corporation</x:v>
      </x:c>
      <x:c r="D79" t="str">
        <x:v>Illinois</x:v>
      </x:c>
      <x:c r="E79" t="str">
        <x:v>Foreign Corporation Qualification</x:v>
      </x:c>
      <x:c r="F79" t="str">
        <x:v>Online</x:v>
      </x:c>
      <x:c r="G79" t="str">
        <x:v>Illinois Online Fulfillment</x:v>
      </x:c>
      <x:c r="H79" t="str">
        <x:v>Processing</x:v>
      </x:c>
      <x:c r="I79" t="n">
        <x:v>2</x:v>
      </x:c>
      <x:c r="J79" t="n">
        <x:v>4</x:v>
      </x:c>
      <x:c r="K79" t="str">
        <x:f>IF(OR(H79="Pending",H79="Processing"),"Open",IF(I79&lt;=J79,"Yes","No"))</x:f>
        <x:v>Open</x:v>
      </x:c>
      <x:c r="L79" t="str"/>
      <x:c r="M79" s="12" t="n">
        <x:v>46036</x:v>
      </x:c>
      <x:c r="N79" s="12"/>
      <x:c r="O79" t="str">
        <x:v>Yes</x:v>
      </x:c>
      <x:c r="P79" t="str">
        <x:v>High</x:v>
      </x:c>
    </x:row>
    <x:row r="80">
      <x:c r="A80" t="str">
        <x:v>FIL-20260079</x:v>
      </x:c>
      <x:c r="B80" t="str">
        <x:v>Magnolia Systems</x:v>
      </x:c>
      <x:c r="C80" t="str">
        <x:v>Fictitious Name</x:v>
      </x:c>
      <x:c r="D80" t="str">
        <x:v>Georgia</x:v>
      </x:c>
      <x:c r="E80" t="str">
        <x:v>Fictitious Name Renewal</x:v>
      </x:c>
      <x:c r="F80" t="str">
        <x:v>Online</x:v>
      </x:c>
      <x:c r="G80" t="str">
        <x:v>Southeast Processing Team</x:v>
      </x:c>
      <x:c r="H80" t="str">
        <x:v>Processing</x:v>
      </x:c>
      <x:c r="I80" t="n">
        <x:v>6</x:v>
      </x:c>
      <x:c r="J80" t="n">
        <x:v>4</x:v>
      </x:c>
      <x:c r="K80" t="str">
        <x:f>IF(OR(H80="Pending",H80="Processing"),"Open",IF(I80&lt;=J80,"Yes","No"))</x:f>
        <x:v>Open</x:v>
      </x:c>
      <x:c r="L80" t="str"/>
      <x:c r="M80" s="12" t="n">
        <x:v>46052</x:v>
      </x:c>
      <x:c r="N80" s="12"/>
      <x:c r="O80" t="str">
        <x:v>No</x:v>
      </x:c>
      <x:c r="P80" t="str">
        <x:v>Standard</x:v>
      </x:c>
    </x:row>
    <x:row r="81">
      <x:c r="A81" t="str">
        <x:v>FIL-20260080</x:v>
      </x:c>
      <x:c r="B81" t="str">
        <x:v>Summit Services PLLC</x:v>
      </x:c>
      <x:c r="C81" t="str">
        <x:v>PLLC</x:v>
      </x:c>
      <x:c r="D81" t="str">
        <x:v>New York</x:v>
      </x:c>
      <x:c r="E81" t="str">
        <x:v>Annual Report</x:v>
      </x:c>
      <x:c r="F81" t="str">
        <x:v>Online</x:v>
      </x:c>
      <x:c r="G81" t="str">
        <x:v>Northeast Processing Team</x:v>
      </x:c>
      <x:c r="H81" t="str">
        <x:v>Pending</x:v>
      </x:c>
      <x:c r="I81" t="n">
        <x:v>3</x:v>
      </x:c>
      <x:c r="J81" t="n">
        <x:v>4</x:v>
      </x:c>
      <x:c r="K81" t="str">
        <x:f>IF(OR(H81="Pending",H81="Processing"),"Open",IF(I81&lt;=J81,"Yes","No"))</x:f>
        <x:v>Open</x:v>
      </x:c>
      <x:c r="L81" t="str"/>
      <x:c r="M81" s="12" t="n">
        <x:v>46102</x:v>
      </x:c>
      <x:c r="N81" s="12"/>
      <x:c r="O81" t="str">
        <x:v>Yes</x:v>
      </x:c>
      <x:c r="P81" t="str">
        <x:v>Urgent</x:v>
      </x:c>
    </x:row>
    <x:row r="82">
      <x:c r="A82" t="str">
        <x:v>FIL-20260081</x:v>
      </x:c>
      <x:c r="B82" t="str">
        <x:v>Summit Logistics L.P.</x:v>
      </x:c>
      <x:c r="C82" t="str">
        <x:v>LP</x:v>
      </x:c>
      <x:c r="D82" t="str">
        <x:v>Florida</x:v>
      </x:c>
      <x:c r="E82" t="str">
        <x:v>Reinstatement</x:v>
      </x:c>
      <x:c r="F82" t="str">
        <x:v>Online</x:v>
      </x:c>
      <x:c r="G82" t="str">
        <x:v>Florida Online Fulfillment</x:v>
      </x:c>
      <x:c r="H82" t="str">
        <x:v>Pending</x:v>
      </x:c>
      <x:c r="I82" t="n">
        <x:v>5</x:v>
      </x:c>
      <x:c r="J82" t="n">
        <x:v>3</x:v>
      </x:c>
      <x:c r="K82" t="str">
        <x:f>IF(OR(H82="Pending",H82="Processing"),"Open",IF(I82&lt;=J82,"Yes","No"))</x:f>
        <x:v>Open</x:v>
      </x:c>
      <x:c r="L82" t="str"/>
      <x:c r="M82" s="12" t="n">
        <x:v>46046</x:v>
      </x:c>
      <x:c r="N82" s="12"/>
      <x:c r="O82" t="str">
        <x:v>No</x:v>
      </x:c>
      <x:c r="P82" t="str">
        <x:v>Standard</x:v>
      </x:c>
    </x:row>
    <x:row r="83">
      <x:c r="A83" t="str">
        <x:v>FIL-20260082</x:v>
      </x:c>
      <x:c r="B83" t="str">
        <x:v>NorthStar Compliance L.L.C.</x:v>
      </x:c>
      <x:c r="C83" t="str">
        <x:v>LLC</x:v>
      </x:c>
      <x:c r="D83" t="str">
        <x:v>California</x:v>
      </x:c>
      <x:c r="E83" t="str">
        <x:v>LLC Formation</x:v>
      </x:c>
      <x:c r="F83" t="str">
        <x:v>Online</x:v>
      </x:c>
      <x:c r="G83" t="str">
        <x:v>West Coast Processing Team</x:v>
      </x:c>
      <x:c r="H83" t="str">
        <x:v>Completed</x:v>
      </x:c>
      <x:c r="I83" t="n">
        <x:v>2</x:v>
      </x:c>
      <x:c r="J83" t="n">
        <x:v>5</x:v>
      </x:c>
      <x:c r="K83" t="str">
        <x:f>IF(OR(H83="Pending",H83="Processing"),"Open",IF(I83&lt;=J83,"Yes","No"))</x:f>
        <x:v>Yes</x:v>
      </x:c>
      <x:c r="L83" t="str"/>
      <x:c r="M83" s="12" t="n">
        <x:v>46083</x:v>
      </x:c>
      <x:c r="N83" s="12" t="n">
        <x:v>46085</x:v>
      </x:c>
      <x:c r="O83" t="str">
        <x:v>No</x:v>
      </x:c>
      <x:c r="P83" t="str">
        <x:v>Standard</x:v>
      </x:c>
    </x:row>
    <x:row r="84">
      <x:c r="A84" t="str">
        <x:v>FIL-20260083</x:v>
      </x:c>
      <x:c r="B84" t="str">
        <x:v>Sterling Healthcare P.L.L.C.</x:v>
      </x:c>
      <x:c r="C84" t="str">
        <x:v>PLLC</x:v>
      </x:c>
      <x:c r="D84" t="str">
        <x:v>Delaware</x:v>
      </x:c>
      <x:c r="E84" t="str">
        <x:v>Annual Report</x:v>
      </x:c>
      <x:c r="F84" t="str">
        <x:v>Online</x:v>
      </x:c>
      <x:c r="G84" t="str">
        <x:v>Delaware Processing Team</x:v>
      </x:c>
      <x:c r="H84" t="str">
        <x:v>Returned</x:v>
      </x:c>
      <x:c r="I84" t="n">
        <x:v>5</x:v>
      </x:c>
      <x:c r="J84" t="n">
        <x:v>2</x:v>
      </x:c>
      <x:c r="K84" t="str">
        <x:f>IF(OR(H84="Pending",H84="Processing"),"Open",IF(I84&lt;=J84,"Yes","No"))</x:f>
        <x:v>No</x:v>
      </x:c>
      <x:c r="L84" t="str">
        <x:v>Address Mismatch</x:v>
      </x:c>
      <x:c r="M84" s="12" t="n">
        <x:v>46122</x:v>
      </x:c>
      <x:c r="N84" s="12"/>
      <x:c r="O84" t="str">
        <x:v>Yes</x:v>
      </x:c>
      <x:c r="P84" t="str">
        <x:v>Standard</x:v>
      </x:c>
    </x:row>
    <x:row r="85">
      <x:c r="A85" t="str">
        <x:v>FIL-20260084</x:v>
      </x:c>
      <x:c r="B85" t="str">
        <x:v>Metro Holdings P.L.L.C.</x:v>
      </x:c>
      <x:c r="C85" t="str">
        <x:v>PLLC</x:v>
      </x:c>
      <x:c r="D85" t="str">
        <x:v>Florida</x:v>
      </x:c>
      <x:c r="E85" t="str">
        <x:v>Certificate of Status Request</x:v>
      </x:c>
      <x:c r="F85" t="str">
        <x:v>Online</x:v>
      </x:c>
      <x:c r="G85" t="str">
        <x:v>Florida Online Fulfillment</x:v>
      </x:c>
      <x:c r="H85" t="str">
        <x:v>Completed</x:v>
      </x:c>
      <x:c r="I85" t="n">
        <x:v>3</x:v>
      </x:c>
      <x:c r="J85" t="n">
        <x:v>3</x:v>
      </x:c>
      <x:c r="K85" t="str">
        <x:f>IF(OR(H85="Pending",H85="Processing"),"Open",IF(I85&lt;=J85,"Yes","No"))</x:f>
        <x:v>Yes</x:v>
      </x:c>
      <x:c r="L85" t="str"/>
      <x:c r="M85" s="12" t="n">
        <x:v>46154</x:v>
      </x:c>
      <x:c r="N85" s="12" t="n">
        <x:v>46157</x:v>
      </x:c>
      <x:c r="O85" t="str">
        <x:v>No</x:v>
      </x:c>
      <x:c r="P85" t="str">
        <x:v>Standard</x:v>
      </x:c>
    </x:row>
    <x:row r="86">
      <x:c r="A86" t="str">
        <x:v>FIL-20260085</x:v>
      </x:c>
      <x:c r="B86" t="str">
        <x:v>Crescent Consulting Institute Inc.</x:v>
      </x:c>
      <x:c r="C86" t="str">
        <x:v>Nonprofit Corporation</x:v>
      </x:c>
      <x:c r="D86" t="str">
        <x:v>North Carolina</x:v>
      </x:c>
      <x:c r="E86" t="str">
        <x:v>Certificate of Status Request</x:v>
      </x:c>
      <x:c r="F86" t="str">
        <x:v>Mail</x:v>
      </x:c>
      <x:c r="G86" t="str">
        <x:v>North Carolina Processing Team</x:v>
      </x:c>
      <x:c r="H86" t="str">
        <x:v>Completed</x:v>
      </x:c>
      <x:c r="I86" t="n">
        <x:v>3</x:v>
      </x:c>
      <x:c r="J86" t="n">
        <x:v>6</x:v>
      </x:c>
      <x:c r="K86" t="str">
        <x:f>IF(OR(H86="Pending",H86="Processing"),"Open",IF(I86&lt;=J86,"Yes","No"))</x:f>
        <x:v>Yes</x:v>
      </x:c>
      <x:c r="L86" t="str"/>
      <x:c r="M86" s="12" t="n">
        <x:v>46033</x:v>
      </x:c>
      <x:c r="N86" s="12" t="n">
        <x:v>46036</x:v>
      </x:c>
      <x:c r="O86" t="str">
        <x:v>No</x:v>
      </x:c>
      <x:c r="P86" t="str">
        <x:v>Standard</x:v>
      </x:c>
    </x:row>
    <x:row r="87">
      <x:c r="A87" t="str">
        <x:v>FIL-20260086</x:v>
      </x:c>
      <x:c r="B87" t="str">
        <x:v>Pioneer Group PLLC</x:v>
      </x:c>
      <x:c r="C87" t="str">
        <x:v>PLLC</x:v>
      </x:c>
      <x:c r="D87" t="str">
        <x:v>New York</x:v>
      </x:c>
      <x:c r="E87" t="str">
        <x:v>Principal Address Update</x:v>
      </x:c>
      <x:c r="F87" t="str">
        <x:v>Mail</x:v>
      </x:c>
      <x:c r="G87" t="str">
        <x:v>Northeast Processing Team</x:v>
      </x:c>
      <x:c r="H87" t="str">
        <x:v>Completed</x:v>
      </x:c>
      <x:c r="I87" t="n">
        <x:v>9</x:v>
      </x:c>
      <x:c r="J87" t="n">
        <x:v>7</x:v>
      </x:c>
      <x:c r="K87" t="str">
        <x:f>IF(OR(H87="Pending",H87="Processing"),"Open",IF(I87&lt;=J87,"Yes","No"))</x:f>
        <x:v>No</x:v>
      </x:c>
      <x:c r="L87" t="str"/>
      <x:c r="M87" s="12" t="n">
        <x:v>46103</x:v>
      </x:c>
      <x:c r="N87" s="12" t="n">
        <x:v>46112</x:v>
      </x:c>
      <x:c r="O87" t="str">
        <x:v>Yes</x:v>
      </x:c>
      <x:c r="P87" t="str">
        <x:v>Standard</x:v>
      </x:c>
    </x:row>
    <x:row r="88">
      <x:c r="A88" t="str">
        <x:v>FIL-20260087</x:v>
      </x:c>
      <x:c r="B88" t="str">
        <x:v>Summit Consulting L.L.P.</x:v>
      </x:c>
      <x:c r="C88" t="str">
        <x:v>LLP</x:v>
      </x:c>
      <x:c r="D88" t="str">
        <x:v>Delaware</x:v>
      </x:c>
      <x:c r="E88" t="str">
        <x:v>Registered Agent Change</x:v>
      </x:c>
      <x:c r="F88" t="str">
        <x:v>Expedited</x:v>
      </x:c>
      <x:c r="G88" t="str">
        <x:v>Delaware Processing Team</x:v>
      </x:c>
      <x:c r="H88" t="str">
        <x:v>Processing</x:v>
      </x:c>
      <x:c r="I88" t="n">
        <x:v>2</x:v>
      </x:c>
      <x:c r="J88" t="n">
        <x:v>1</x:v>
      </x:c>
      <x:c r="K88" t="str">
        <x:f>IF(OR(H88="Pending",H88="Processing"),"Open",IF(I88&lt;=J88,"Yes","No"))</x:f>
        <x:v>Open</x:v>
      </x:c>
      <x:c r="L88" t="str"/>
      <x:c r="M88" s="12" t="n">
        <x:v>46135</x:v>
      </x:c>
      <x:c r="N88" s="12"/>
      <x:c r="O88" t="str">
        <x:v>Yes</x:v>
      </x:c>
      <x:c r="P88" t="str">
        <x:v>Standard</x:v>
      </x:c>
    </x:row>
    <x:row r="89">
      <x:c r="A89" t="str">
        <x:v>FIL-20260088</x:v>
      </x:c>
      <x:c r="B89" t="str">
        <x:v>Magnolia Healthcare L.L.C.</x:v>
      </x:c>
      <x:c r="C89" t="str">
        <x:v>LLC</x:v>
      </x:c>
      <x:c r="D89" t="str">
        <x:v>Florida</x:v>
      </x:c>
      <x:c r="E89" t="str">
        <x:v>LLC Dissolution</x:v>
      </x:c>
      <x:c r="F89" t="str">
        <x:v>Online</x:v>
      </x:c>
      <x:c r="G89" t="str">
        <x:v>Florida Online Fulfillment</x:v>
      </x:c>
      <x:c r="H89" t="str">
        <x:v>Completed</x:v>
      </x:c>
      <x:c r="I89" t="n">
        <x:v>1</x:v>
      </x:c>
      <x:c r="J89" t="n">
        <x:v>3</x:v>
      </x:c>
      <x:c r="K89" t="str">
        <x:f>IF(OR(H89="Pending",H89="Processing"),"Open",IF(I89&lt;=J89,"Yes","No"))</x:f>
        <x:v>Yes</x:v>
      </x:c>
      <x:c r="L89" t="str"/>
      <x:c r="M89" s="12" t="n">
        <x:v>46064</x:v>
      </x:c>
      <x:c r="N89" s="12" t="n">
        <x:v>46065</x:v>
      </x:c>
      <x:c r="O89" t="str">
        <x:v>No</x:v>
      </x:c>
      <x:c r="P89" t="str">
        <x:v>Standard</x:v>
      </x:c>
    </x:row>
    <x:row r="90">
      <x:c r="A90" t="str">
        <x:v>FIL-20260089</x:v>
      </x:c>
      <x:c r="B90" t="str">
        <x:v>Metro Development LLP</x:v>
      </x:c>
      <x:c r="C90" t="str">
        <x:v>LLP</x:v>
      </x:c>
      <x:c r="D90" t="str">
        <x:v>Florida</x:v>
      </x:c>
      <x:c r="E90" t="str">
        <x:v>Certified Copy Request</x:v>
      </x:c>
      <x:c r="F90" t="str">
        <x:v>Online</x:v>
      </x:c>
      <x:c r="G90" t="str">
        <x:v>Florida Online Fulfillment</x:v>
      </x:c>
      <x:c r="H90" t="str">
        <x:v>Processing</x:v>
      </x:c>
      <x:c r="I90" t="n">
        <x:v>3</x:v>
      </x:c>
      <x:c r="J90" t="n">
        <x:v>3</x:v>
      </x:c>
      <x:c r="K90" t="str">
        <x:f>IF(OR(H90="Pending",H90="Processing"),"Open",IF(I90&lt;=J90,"Yes","No"))</x:f>
        <x:v>Open</x:v>
      </x:c>
      <x:c r="L90" t="str"/>
      <x:c r="M90" s="12" t="n">
        <x:v>46162</x:v>
      </x:c>
      <x:c r="N90" s="12"/>
      <x:c r="O90" t="str">
        <x:v>No</x:v>
      </x:c>
      <x:c r="P90" t="str">
        <x:v>Standard</x:v>
      </x:c>
    </x:row>
    <x:row r="91">
      <x:c r="A91" t="str">
        <x:v>FIL-20260090</x:v>
      </x:c>
      <x:c r="B91" t="str">
        <x:v>Legacy Resources Corporation</x:v>
      </x:c>
      <x:c r="C91" t="str">
        <x:v>Profit Corporation</x:v>
      </x:c>
      <x:c r="D91" t="str">
        <x:v>New York</x:v>
      </x:c>
      <x:c r="E91" t="str">
        <x:v>Conversion Filing</x:v>
      </x:c>
      <x:c r="F91" t="str">
        <x:v>Expedited</x:v>
      </x:c>
      <x:c r="G91" t="str">
        <x:v>Northeast Processing Team</x:v>
      </x:c>
      <x:c r="H91" t="str">
        <x:v>Pending</x:v>
      </x:c>
      <x:c r="I91" t="n">
        <x:v>0</x:v>
      </x:c>
      <x:c r="J91" t="n">
        <x:v>3</x:v>
      </x:c>
      <x:c r="K91" t="str">
        <x:f>IF(OR(H91="Pending",H91="Processing"),"Open",IF(I91&lt;=J91,"Yes","No"))</x:f>
        <x:v>Open</x:v>
      </x:c>
      <x:c r="L91" t="str"/>
      <x:c r="M91" s="12" t="n">
        <x:v>46078</x:v>
      </x:c>
      <x:c r="N91" s="12"/>
      <x:c r="O91" t="str">
        <x:v>Yes</x:v>
      </x:c>
      <x:c r="P91" t="str">
        <x:v>Standard</x:v>
      </x:c>
    </x:row>
    <x:row r="92">
      <x:c r="A92" t="str">
        <x:v>FIL-20260091</x:v>
      </x:c>
      <x:c r="B92" t="str">
        <x:v>First State Holdings LP</x:v>
      </x:c>
      <x:c r="C92" t="str">
        <x:v>LP</x:v>
      </x:c>
      <x:c r="D92" t="str">
        <x:v>Delaware</x:v>
      </x:c>
      <x:c r="E92" t="str">
        <x:v>Foreign LP Qualification</x:v>
      </x:c>
      <x:c r="F92" t="str">
        <x:v>Online</x:v>
      </x:c>
      <x:c r="G92" t="str">
        <x:v>Delaware Processing Team</x:v>
      </x:c>
      <x:c r="H92" t="str">
        <x:v>Completed</x:v>
      </x:c>
      <x:c r="I92" t="n">
        <x:v>2</x:v>
      </x:c>
      <x:c r="J92" t="n">
        <x:v>2</x:v>
      </x:c>
      <x:c r="K92" t="str">
        <x:f>IF(OR(H92="Pending",H92="Processing"),"Open",IF(I92&lt;=J92,"Yes","No"))</x:f>
        <x:v>Yes</x:v>
      </x:c>
      <x:c r="L92" t="str"/>
      <x:c r="M92" s="12" t="n">
        <x:v>46185</x:v>
      </x:c>
      <x:c r="N92" s="12" t="n">
        <x:v>46187</x:v>
      </x:c>
      <x:c r="O92" t="str">
        <x:v>Yes</x:v>
      </x:c>
      <x:c r="P92" t="str">
        <x:v>Standard</x:v>
      </x:c>
    </x:row>
    <x:row r="93">
      <x:c r="A93" t="str">
        <x:v>FIL-20260092</x:v>
      </x:c>
      <x:c r="B93" t="str">
        <x:v>Oakmont Systems Institute Inc.</x:v>
      </x:c>
      <x:c r="C93" t="str">
        <x:v>Nonprofit Corporation</x:v>
      </x:c>
      <x:c r="D93" t="str">
        <x:v>Florida</x:v>
      </x:c>
      <x:c r="E93" t="str">
        <x:v>Nonprofit Corporation Formation</x:v>
      </x:c>
      <x:c r="F93" t="str">
        <x:v>Online</x:v>
      </x:c>
      <x:c r="G93" t="str">
        <x:v>Florida Online Fulfillment</x:v>
      </x:c>
      <x:c r="H93" t="str">
        <x:v>Completed</x:v>
      </x:c>
      <x:c r="I93" t="n">
        <x:v>6</x:v>
      </x:c>
      <x:c r="J93" t="n">
        <x:v>3</x:v>
      </x:c>
      <x:c r="K93" t="str">
        <x:f>IF(OR(H93="Pending",H93="Processing"),"Open",IF(I93&lt;=J93,"Yes","No"))</x:f>
        <x:v>No</x:v>
      </x:c>
      <x:c r="L93" t="str"/>
      <x:c r="M93" s="12" t="n">
        <x:v>46075</x:v>
      </x:c>
      <x:c r="N93" s="12" t="n">
        <x:v>46081</x:v>
      </x:c>
      <x:c r="O93" t="str">
        <x:v>No</x:v>
      </x:c>
      <x:c r="P93" t="str">
        <x:v>Standard</x:v>
      </x:c>
    </x:row>
    <x:row r="94">
      <x:c r="A94" t="str">
        <x:v>FIL-20260093</x:v>
      </x:c>
      <x:c r="B94" t="str">
        <x:v>Crescent Enterprises LLC</x:v>
      </x:c>
      <x:c r="C94" t="str">
        <x:v>LLC</x:v>
      </x:c>
      <x:c r="D94" t="str">
        <x:v>Florida</x:v>
      </x:c>
      <x:c r="E94" t="str">
        <x:v>LLC Formation</x:v>
      </x:c>
      <x:c r="F94" t="str">
        <x:v>OTC</x:v>
      </x:c>
      <x:c r="G94" t="str">
        <x:v>Florida OTC Fulfillment</x:v>
      </x:c>
      <x:c r="H94" t="str">
        <x:v>Completed</x:v>
      </x:c>
      <x:c r="I94" t="n">
        <x:v>5</x:v>
      </x:c>
      <x:c r="J94" t="n">
        <x:v>3</x:v>
      </x:c>
      <x:c r="K94" t="str">
        <x:f>IF(OR(H94="Pending",H94="Processing"),"Open",IF(I94&lt;=J94,"Yes","No"))</x:f>
        <x:v>No</x:v>
      </x:c>
      <x:c r="L94" t="str"/>
      <x:c r="M94" s="12" t="n">
        <x:v>46204</x:v>
      </x:c>
      <x:c r="N94" s="12" t="n">
        <x:v>46209</x:v>
      </x:c>
      <x:c r="O94" t="str">
        <x:v>No</x:v>
      </x:c>
      <x:c r="P94" t="str">
        <x:v>Standard</x:v>
      </x:c>
    </x:row>
    <x:row r="95">
      <x:c r="A95" t="str">
        <x:v>FIL-20260094</x:v>
      </x:c>
      <x:c r="B95" t="str">
        <x:v>Harbor Advisors Institute Inc.</x:v>
      </x:c>
      <x:c r="C95" t="str">
        <x:v>Nonprofit Corporation</x:v>
      </x:c>
      <x:c r="D95" t="str">
        <x:v>Illinois</x:v>
      </x:c>
      <x:c r="E95" t="str">
        <x:v>Nonprofit Corporation Formation</x:v>
      </x:c>
      <x:c r="F95" t="str">
        <x:v>Online</x:v>
      </x:c>
      <x:c r="G95" t="str">
        <x:v>Illinois Online Fulfillment</x:v>
      </x:c>
      <x:c r="H95" t="str">
        <x:v>Completed</x:v>
      </x:c>
      <x:c r="I95" t="n">
        <x:v>3</x:v>
      </x:c>
      <x:c r="J95" t="n">
        <x:v>4</x:v>
      </x:c>
      <x:c r="K95" t="str">
        <x:f>IF(OR(H95="Pending",H95="Processing"),"Open",IF(I95&lt;=J95,"Yes","No"))</x:f>
        <x:v>Yes</x:v>
      </x:c>
      <x:c r="L95" t="str"/>
      <x:c r="M95" s="12" t="n">
        <x:v>46087</x:v>
      </x:c>
      <x:c r="N95" s="12" t="n">
        <x:v>46090</x:v>
      </x:c>
      <x:c r="O95" t="str">
        <x:v>Yes</x:v>
      </x:c>
      <x:c r="P95" t="str">
        <x:v>Standard</x:v>
      </x:c>
    </x:row>
    <x:row r="96">
      <x:c r="A96" t="str">
        <x:v>FIL-20260095</x:v>
      </x:c>
      <x:c r="B96" t="str">
        <x:v>Horizon Services L.P.</x:v>
      </x:c>
      <x:c r="C96" t="str">
        <x:v>LP</x:v>
      </x:c>
      <x:c r="D96" t="str">
        <x:v>New York</x:v>
      </x:c>
      <x:c r="E96" t="str">
        <x:v>Registered Agent Change</x:v>
      </x:c>
      <x:c r="F96" t="str">
        <x:v>Expedited</x:v>
      </x:c>
      <x:c r="G96" t="str">
        <x:v>Northeast Processing Team</x:v>
      </x:c>
      <x:c r="H96" t="str">
        <x:v>Completed</x:v>
      </x:c>
      <x:c r="I96" t="n">
        <x:v>4</x:v>
      </x:c>
      <x:c r="J96" t="n">
        <x:v>3</x:v>
      </x:c>
      <x:c r="K96" t="str">
        <x:f>IF(OR(H96="Pending",H96="Processing"),"Open",IF(I96&lt;=J96,"Yes","No"))</x:f>
        <x:v>No</x:v>
      </x:c>
      <x:c r="L96" t="str"/>
      <x:c r="M96" s="12" t="n">
        <x:v>46060</x:v>
      </x:c>
      <x:c r="N96" s="12" t="n">
        <x:v>46064</x:v>
      </x:c>
      <x:c r="O96" t="str">
        <x:v>Yes</x:v>
      </x:c>
      <x:c r="P96" t="str">
        <x:v>Standard</x:v>
      </x:c>
    </x:row>
    <x:row r="97">
      <x:c r="A97" t="str">
        <x:v>FIL-20260096</x:v>
      </x:c>
      <x:c r="B97" t="str">
        <x:v>Horizon Management LLC</x:v>
      </x:c>
      <x:c r="C97" t="str">
        <x:v>LLC</x:v>
      </x:c>
      <x:c r="D97" t="str">
        <x:v>New York</x:v>
      </x:c>
      <x:c r="E97" t="str">
        <x:v>Foreign LLC Qualification</x:v>
      </x:c>
      <x:c r="F97" t="str">
        <x:v>Mail</x:v>
      </x:c>
      <x:c r="G97" t="str">
        <x:v>Northeast Processing Team</x:v>
      </x:c>
      <x:c r="H97" t="str">
        <x:v>Rejected</x:v>
      </x:c>
      <x:c r="I97" t="n">
        <x:v>2</x:v>
      </x:c>
      <x:c r="J97" t="n">
        <x:v>7</x:v>
      </x:c>
      <x:c r="K97" t="str">
        <x:f>IF(OR(H97="Pending",H97="Processing"),"Open",IF(I97&lt;=J97,"Yes","No"))</x:f>
        <x:v>Yes</x:v>
      </x:c>
      <x:c r="L97" t="str">
        <x:v>Address Mismatch</x:v>
      </x:c>
      <x:c r="M97" s="12" t="n">
        <x:v>46168</x:v>
      </x:c>
      <x:c r="N97" s="12"/>
      <x:c r="O97" t="str">
        <x:v>Yes</x:v>
      </x:c>
      <x:c r="P97" t="str">
        <x:v>Standard</x:v>
      </x:c>
    </x:row>
    <x:row r="98">
      <x:c r="A98" t="str">
        <x:v>FIL-20260097</x:v>
      </x:c>
      <x:c r="B98" t="str">
        <x:v>Magnolia Enterprises LLC</x:v>
      </x:c>
      <x:c r="C98" t="str">
        <x:v>LLC</x:v>
      </x:c>
      <x:c r="D98" t="str">
        <x:v>Maryland</x:v>
      </x:c>
      <x:c r="E98" t="str">
        <x:v>Foreign LLC Qualification</x:v>
      </x:c>
      <x:c r="F98" t="str">
        <x:v>Mail</x:v>
      </x:c>
      <x:c r="G98" t="str">
        <x:v>Maryland Processing Team</x:v>
      </x:c>
      <x:c r="H98" t="str">
        <x:v>Completed</x:v>
      </x:c>
      <x:c r="I98" t="n">
        <x:v>6</x:v>
      </x:c>
      <x:c r="J98" t="n">
        <x:v>6</x:v>
      </x:c>
      <x:c r="K98" t="str">
        <x:f>IF(OR(H98="Pending",H98="Processing"),"Open",IF(I98&lt;=J98,"Yes","No"))</x:f>
        <x:v>Yes</x:v>
      </x:c>
      <x:c r="L98" t="str"/>
      <x:c r="M98" s="12" t="n">
        <x:v>46028</x:v>
      </x:c>
      <x:c r="N98" s="12" t="n">
        <x:v>46034</x:v>
      </x:c>
      <x:c r="O98" t="str">
        <x:v>No</x:v>
      </x:c>
      <x:c r="P98" t="str">
        <x:v>Standard</x:v>
      </x:c>
    </x:row>
    <x:row r="99">
      <x:c r="A99" t="str">
        <x:v>FIL-20260098</x:v>
      </x:c>
      <x:c r="B99" t="str">
        <x:v>Golden Coast Enterprises Corporation</x:v>
      </x:c>
      <x:c r="C99" t="str">
        <x:v>Profit Corporation</x:v>
      </x:c>
      <x:c r="D99" t="str">
        <x:v>Delaware</x:v>
      </x:c>
      <x:c r="E99" t="str">
        <x:v>Conversion Filing</x:v>
      </x:c>
      <x:c r="F99" t="str">
        <x:v>Expedited</x:v>
      </x:c>
      <x:c r="G99" t="str">
        <x:v>Delaware Processing Team</x:v>
      </x:c>
      <x:c r="H99" t="str">
        <x:v>Completed</x:v>
      </x:c>
      <x:c r="I99" t="n">
        <x:v>5</x:v>
      </x:c>
      <x:c r="J99" t="n">
        <x:v>1</x:v>
      </x:c>
      <x:c r="K99" t="str">
        <x:f>IF(OR(H99="Pending",H99="Processing"),"Open",IF(I99&lt;=J99,"Yes","No"))</x:f>
        <x:v>No</x:v>
      </x:c>
      <x:c r="L99" t="str"/>
      <x:c r="M99" s="12" t="n">
        <x:v>46184</x:v>
      </x:c>
      <x:c r="N99" s="12" t="n">
        <x:v>46189</x:v>
      </x:c>
      <x:c r="O99" t="str">
        <x:v>Yes</x:v>
      </x:c>
      <x:c r="P99" t="str">
        <x:v>Standard</x:v>
      </x:c>
    </x:row>
    <x:row r="100">
      <x:c r="A100" t="str">
        <x:v>FIL-20260099</x:v>
      </x:c>
      <x:c r="B100" t="str">
        <x:v>Golden Coast Management Corp.</x:v>
      </x:c>
      <x:c r="C100" t="str">
        <x:v>Profit Corporation</x:v>
      </x:c>
      <x:c r="D100" t="str">
        <x:v>Illinois</x:v>
      </x:c>
      <x:c r="E100" t="str">
        <x:v>Corporation Dissolution</x:v>
      </x:c>
      <x:c r="F100" t="str">
        <x:v>Mail</x:v>
      </x:c>
      <x:c r="G100" t="str">
        <x:v>Illinois Fulfillment Team</x:v>
      </x:c>
      <x:c r="H100" t="str">
        <x:v>Completed</x:v>
      </x:c>
      <x:c r="I100" t="n">
        <x:v>3</x:v>
      </x:c>
      <x:c r="J100" t="n">
        <x:v>6</x:v>
      </x:c>
      <x:c r="K100" t="str">
        <x:f>IF(OR(H100="Pending",H100="Processing"),"Open",IF(I100&lt;=J100,"Yes","No"))</x:f>
        <x:v>Yes</x:v>
      </x:c>
      <x:c r="L100" t="str"/>
      <x:c r="M100" s="12" t="n">
        <x:v>46133</x:v>
      </x:c>
      <x:c r="N100" s="12" t="n">
        <x:v>46136</x:v>
      </x:c>
      <x:c r="O100" t="str">
        <x:v>Yes</x:v>
      </x:c>
      <x:c r="P100" t="str">
        <x:v>Standard</x:v>
      </x:c>
    </x:row>
    <x:row r="101">
      <x:c r="A101" t="str">
        <x:v>FIL-20260100</x:v>
      </x:c>
      <x:c r="B101" t="str">
        <x:v>Summit Solutions Foundation Inc.</x:v>
      </x:c>
      <x:c r="C101" t="str">
        <x:v>Nonprofit Corporation</x:v>
      </x:c>
      <x:c r="D101" t="str">
        <x:v>California</x:v>
      </x:c>
      <x:c r="E101" t="str">
        <x:v>Registered Agent Change</x:v>
      </x:c>
      <x:c r="F101" t="str">
        <x:v>Mail</x:v>
      </x:c>
      <x:c r="G101" t="str">
        <x:v>West Coast Processing Team</x:v>
      </x:c>
      <x:c r="H101" t="str">
        <x:v>Completed</x:v>
      </x:c>
      <x:c r="I101" t="n">
        <x:v>2</x:v>
      </x:c>
      <x:c r="J101" t="n">
        <x:v>7</x:v>
      </x:c>
      <x:c r="K101" t="str">
        <x:f>IF(OR(H101="Pending",H101="Processing"),"Open",IF(I101&lt;=J101,"Yes","No"))</x:f>
        <x:v>Yes</x:v>
      </x:c>
      <x:c r="L101" t="str"/>
      <x:c r="M101" s="12" t="n">
        <x:v>46071</x:v>
      </x:c>
      <x:c r="N101" s="12" t="n">
        <x:v>46073</x:v>
      </x:c>
      <x:c r="O101" t="str">
        <x:v>No</x:v>
      </x:c>
      <x:c r="P101" t="str">
        <x:v>Standard</x:v>
      </x:c>
    </x:row>
    <x:row r="102">
      <x:c r="A102" t="str">
        <x:v>FIL-20260101</x:v>
      </x:c>
      <x:c r="B102" t="str">
        <x:v>First State Solutions Inc.</x:v>
      </x:c>
      <x:c r="C102" t="str">
        <x:v>Profit Corporation</x:v>
      </x:c>
      <x:c r="D102" t="str">
        <x:v>New York</x:v>
      </x:c>
      <x:c r="E102" t="str">
        <x:v>Corporation Amendment</x:v>
      </x:c>
      <x:c r="F102" t="str">
        <x:v>Mail</x:v>
      </x:c>
      <x:c r="G102" t="str">
        <x:v>Northeast Processing Team</x:v>
      </x:c>
      <x:c r="H102" t="str">
        <x:v>Returned</x:v>
      </x:c>
      <x:c r="I102" t="n">
        <x:v>2</x:v>
      </x:c>
      <x:c r="J102" t="n">
        <x:v>7</x:v>
      </x:c>
      <x:c r="K102" t="str">
        <x:f>IF(OR(H102="Pending",H102="Processing"),"Open",IF(I102&lt;=J102,"Yes","No"))</x:f>
        <x:v>Yes</x:v>
      </x:c>
      <x:c r="L102" t="str">
        <x:v>Unsigned Registered Agent Acceptance</x:v>
      </x:c>
      <x:c r="M102" s="12" t="n">
        <x:v>46138</x:v>
      </x:c>
      <x:c r="N102" s="12"/>
      <x:c r="O102" t="str">
        <x:v>Yes</x:v>
      </x:c>
      <x:c r="P102" t="str">
        <x:v>Standard</x:v>
      </x:c>
    </x:row>
    <x:row r="103">
      <x:c r="A103" t="str">
        <x:v>FIL-20260102</x:v>
      </x:c>
      <x:c r="B103" t="str">
        <x:v>BrightPath Analytics LLP</x:v>
      </x:c>
      <x:c r="C103" t="str">
        <x:v>LLP</x:v>
      </x:c>
      <x:c r="D103" t="str">
        <x:v>Texas</x:v>
      </x:c>
      <x:c r="E103" t="str">
        <x:v>Limited Liability Partnership Registration</x:v>
      </x:c>
      <x:c r="F103" t="str">
        <x:v>Mail</x:v>
      </x:c>
      <x:c r="G103" t="str">
        <x:v>Texas Filing Operations</x:v>
      </x:c>
      <x:c r="H103" t="str">
        <x:v>Completed</x:v>
      </x:c>
      <x:c r="I103" t="n">
        <x:v>4</x:v>
      </x:c>
      <x:c r="J103" t="n">
        <x:v>6</x:v>
      </x:c>
      <x:c r="K103" t="str">
        <x:f>IF(OR(H103="Pending",H103="Processing"),"Open",IF(I103&lt;=J103,"Yes","No"))</x:f>
        <x:v>Yes</x:v>
      </x:c>
      <x:c r="L103" t="str"/>
      <x:c r="M103" s="12" t="n">
        <x:v>46058</x:v>
      </x:c>
      <x:c r="N103" s="12" t="n">
        <x:v>46062</x:v>
      </x:c>
      <x:c r="O103" t="str">
        <x:v>No</x:v>
      </x:c>
      <x:c r="P103" t="str">
        <x:v>Standard</x:v>
      </x:c>
    </x:row>
    <x:row r="104">
      <x:c r="A104" t="str">
        <x:v>FIL-20260103</x:v>
      </x:c>
      <x:c r="B104" t="str">
        <x:v>Sunrise Studios PLLC</x:v>
      </x:c>
      <x:c r="C104" t="str">
        <x:v>PLLC</x:v>
      </x:c>
      <x:c r="D104" t="str">
        <x:v>Texas</x:v>
      </x:c>
      <x:c r="E104" t="str">
        <x:v>PLLC Formation</x:v>
      </x:c>
      <x:c r="F104" t="str">
        <x:v>Online</x:v>
      </x:c>
      <x:c r="G104" t="str">
        <x:v>Texas Filing Operations</x:v>
      </x:c>
      <x:c r="H104" t="str">
        <x:v>Completed</x:v>
      </x:c>
      <x:c r="I104" t="n">
        <x:v>7</x:v>
      </x:c>
      <x:c r="J104" t="n">
        <x:v>4</x:v>
      </x:c>
      <x:c r="K104" t="str">
        <x:f>IF(OR(H104="Pending",H104="Processing"),"Open",IF(I104&lt;=J104,"Yes","No"))</x:f>
        <x:v>No</x:v>
      </x:c>
      <x:c r="L104" t="str"/>
      <x:c r="M104" s="12" t="n">
        <x:v>46070</x:v>
      </x:c>
      <x:c r="N104" s="12" t="n">
        <x:v>46077</x:v>
      </x:c>
      <x:c r="O104" t="str">
        <x:v>No</x:v>
      </x:c>
      <x:c r="P104" t="str">
        <x:v>Standard</x:v>
      </x:c>
    </x:row>
    <x:row r="105">
      <x:c r="A105" t="str">
        <x:v>FIL-20260104</x:v>
      </x:c>
      <x:c r="B105" t="str">
        <x:v>Sterling Systems LLC</x:v>
      </x:c>
      <x:c r="C105" t="str">
        <x:v>LLC</x:v>
      </x:c>
      <x:c r="D105" t="str">
        <x:v>Delaware</x:v>
      </x:c>
      <x:c r="E105" t="str">
        <x:v>LLC Dissolution</x:v>
      </x:c>
      <x:c r="F105" t="str">
        <x:v>Expedited</x:v>
      </x:c>
      <x:c r="G105" t="str">
        <x:v>Delaware Processing Team</x:v>
      </x:c>
      <x:c r="H105" t="str">
        <x:v>Completed</x:v>
      </x:c>
      <x:c r="I105" t="n">
        <x:v>5</x:v>
      </x:c>
      <x:c r="J105" t="n">
        <x:v>1</x:v>
      </x:c>
      <x:c r="K105" t="str">
        <x:f>IF(OR(H105="Pending",H105="Processing"),"Open",IF(I105&lt;=J105,"Yes","No"))</x:f>
        <x:v>No</x:v>
      </x:c>
      <x:c r="L105" t="str"/>
      <x:c r="M105" s="12" t="n">
        <x:v>46044</x:v>
      </x:c>
      <x:c r="N105" s="12" t="n">
        <x:v>46049</x:v>
      </x:c>
      <x:c r="O105" t="str">
        <x:v>Yes</x:v>
      </x:c>
      <x:c r="P105" t="str">
        <x:v>Standard</x:v>
      </x:c>
    </x:row>
    <x:row r="106">
      <x:c r="A106" t="str">
        <x:v>FIL-20260105</x:v>
      </x:c>
      <x:c r="B106" t="str">
        <x:v>Blue Ridge Analytics LLC</x:v>
      </x:c>
      <x:c r="C106" t="str">
        <x:v>LLC</x:v>
      </x:c>
      <x:c r="D106" t="str">
        <x:v>Washington D.C.</x:v>
      </x:c>
      <x:c r="E106" t="str">
        <x:v>Annual Report</x:v>
      </x:c>
      <x:c r="F106" t="str">
        <x:v>Mail</x:v>
      </x:c>
      <x:c r="G106" t="str">
        <x:v>DC Compliance Team</x:v>
      </x:c>
      <x:c r="H106" t="str">
        <x:v>Completed</x:v>
      </x:c>
      <x:c r="I106" t="n">
        <x:v>2</x:v>
      </x:c>
      <x:c r="J106" t="n">
        <x:v>5</x:v>
      </x:c>
      <x:c r="K106" t="str">
        <x:f>IF(OR(H106="Pending",H106="Processing"),"Open",IF(I106&lt;=J106,"Yes","No"))</x:f>
        <x:v>Yes</x:v>
      </x:c>
      <x:c r="L106" t="str"/>
      <x:c r="M106" s="12" t="n">
        <x:v>46169</x:v>
      </x:c>
      <x:c r="N106" s="12" t="n">
        <x:v>46171</x:v>
      </x:c>
      <x:c r="O106" t="str">
        <x:v>Yes</x:v>
      </x:c>
      <x:c r="P106" t="str">
        <x:v>Standard</x:v>
      </x:c>
    </x:row>
    <x:row r="107">
      <x:c r="A107" t="str">
        <x:v>FIL-20260106</x:v>
      </x:c>
      <x:c r="B107" t="str">
        <x:v>Crescent Development Corporation</x:v>
      </x:c>
      <x:c r="C107" t="str">
        <x:v>Profit Corporation</x:v>
      </x:c>
      <x:c r="D107" t="str">
        <x:v>Georgia</x:v>
      </x:c>
      <x:c r="E107" t="str">
        <x:v>Corporation Dissolution</x:v>
      </x:c>
      <x:c r="F107" t="str">
        <x:v>Online</x:v>
      </x:c>
      <x:c r="G107" t="str">
        <x:v>Southeast Processing Team</x:v>
      </x:c>
      <x:c r="H107" t="str">
        <x:v>Completed</x:v>
      </x:c>
      <x:c r="I107" t="n">
        <x:v>4</x:v>
      </x:c>
      <x:c r="J107" t="n">
        <x:v>4</x:v>
      </x:c>
      <x:c r="K107" t="str">
        <x:f>IF(OR(H107="Pending",H107="Processing"),"Open",IF(I107&lt;=J107,"Yes","No"))</x:f>
        <x:v>Yes</x:v>
      </x:c>
      <x:c r="L107" t="str"/>
      <x:c r="M107" s="12" t="n">
        <x:v>46178</x:v>
      </x:c>
      <x:c r="N107" s="12" t="n">
        <x:v>46182</x:v>
      </x:c>
      <x:c r="O107" t="str">
        <x:v>No</x:v>
      </x:c>
      <x:c r="P107" t="str">
        <x:v>High</x:v>
      </x:c>
    </x:row>
    <x:row r="108">
      <x:c r="A108" t="str">
        <x:v>FIL-20260107</x:v>
      </x:c>
      <x:c r="B108" t="str">
        <x:v>Sunrise Group P.L.L.C.</x:v>
      </x:c>
      <x:c r="C108" t="str">
        <x:v>PLLC</x:v>
      </x:c>
      <x:c r="D108" t="str">
        <x:v>New York</x:v>
      </x:c>
      <x:c r="E108" t="str">
        <x:v>Annual Report</x:v>
      </x:c>
      <x:c r="F108" t="str">
        <x:v>Mail</x:v>
      </x:c>
      <x:c r="G108" t="str">
        <x:v>Northeast Processing Team</x:v>
      </x:c>
      <x:c r="H108" t="str">
        <x:v>Completed</x:v>
      </x:c>
      <x:c r="I108" t="n">
        <x:v>1</x:v>
      </x:c>
      <x:c r="J108" t="n">
        <x:v>7</x:v>
      </x:c>
      <x:c r="K108" t="str">
        <x:f>IF(OR(H108="Pending",H108="Processing"),"Open",IF(I108&lt;=J108,"Yes","No"))</x:f>
        <x:v>Yes</x:v>
      </x:c>
      <x:c r="L108" t="str"/>
      <x:c r="M108" s="12" t="n">
        <x:v>46076</x:v>
      </x:c>
      <x:c r="N108" s="12" t="n">
        <x:v>46077</x:v>
      </x:c>
      <x:c r="O108" t="str">
        <x:v>Yes</x:v>
      </x:c>
      <x:c r="P108" t="str">
        <x:v>Standard</x:v>
      </x:c>
    </x:row>
    <x:row r="109">
      <x:c r="A109" t="str">
        <x:v>FIL-20260108</x:v>
      </x:c>
      <x:c r="B109" t="str">
        <x:v>Sterling Technologies Corp.</x:v>
      </x:c>
      <x:c r="C109" t="str">
        <x:v>Profit Corporation</x:v>
      </x:c>
      <x:c r="D109" t="str">
        <x:v>Florida</x:v>
      </x:c>
      <x:c r="E109" t="str">
        <x:v>Conversion Filing</x:v>
      </x:c>
      <x:c r="F109" t="str">
        <x:v>Online</x:v>
      </x:c>
      <x:c r="G109" t="str">
        <x:v>Florida Online Fulfillment</x:v>
      </x:c>
      <x:c r="H109" t="str">
        <x:v>Processing</x:v>
      </x:c>
      <x:c r="I109" t="n">
        <x:v>3</x:v>
      </x:c>
      <x:c r="J109" t="n">
        <x:v>3</x:v>
      </x:c>
      <x:c r="K109" t="str">
        <x:f>IF(OR(H109="Pending",H109="Processing"),"Open",IF(I109&lt;=J109,"Yes","No"))</x:f>
        <x:v>Open</x:v>
      </x:c>
      <x:c r="L109" t="str"/>
      <x:c r="M109" s="12" t="n">
        <x:v>46052</x:v>
      </x:c>
      <x:c r="N109" s="12"/>
      <x:c r="O109" t="str">
        <x:v>No</x:v>
      </x:c>
      <x:c r="P109" t="str">
        <x:v>Standard</x:v>
      </x:c>
    </x:row>
    <x:row r="110">
      <x:c r="A110" t="str">
        <x:v>FIL-20260109</x:v>
      </x:c>
      <x:c r="B110" t="str">
        <x:v>Sterling Logistics L.P.</x:v>
      </x:c>
      <x:c r="C110" t="str">
        <x:v>LP</x:v>
      </x:c>
      <x:c r="D110" t="str">
        <x:v>Virginia</x:v>
      </x:c>
      <x:c r="E110" t="str">
        <x:v>Conversion Filing</x:v>
      </x:c>
      <x:c r="F110" t="str">
        <x:v>Online</x:v>
      </x:c>
      <x:c r="G110" t="str">
        <x:v>Virginia Processing Team</x:v>
      </x:c>
      <x:c r="H110" t="str">
        <x:v>Processing</x:v>
      </x:c>
      <x:c r="I110" t="n">
        <x:v>1</x:v>
      </x:c>
      <x:c r="J110" t="n">
        <x:v>4</x:v>
      </x:c>
      <x:c r="K110" t="str">
        <x:f>IF(OR(H110="Pending",H110="Processing"),"Open",IF(I110&lt;=J110,"Yes","No"))</x:f>
        <x:v>Open</x:v>
      </x:c>
      <x:c r="L110" t="str"/>
      <x:c r="M110" s="12" t="n">
        <x:v>46155</x:v>
      </x:c>
      <x:c r="N110" s="12"/>
      <x:c r="O110" t="str">
        <x:v>No</x:v>
      </x:c>
      <x:c r="P110" t="str">
        <x:v>High</x:v>
      </x:c>
    </x:row>
    <x:row r="111">
      <x:c r="A111" t="str">
        <x:v>FIL-20260110</x:v>
      </x:c>
      <x:c r="B111" t="str">
        <x:v>Horizon Solutions Corp.</x:v>
      </x:c>
      <x:c r="C111" t="str">
        <x:v>Profit Corporation</x:v>
      </x:c>
      <x:c r="D111" t="str">
        <x:v>North Carolina</x:v>
      </x:c>
      <x:c r="E111" t="str">
        <x:v>Profit Corporation Formation</x:v>
      </x:c>
      <x:c r="F111" t="str">
        <x:v>Online</x:v>
      </x:c>
      <x:c r="G111" t="str">
        <x:v>North Carolina Processing Team</x:v>
      </x:c>
      <x:c r="H111" t="str">
        <x:v>Processing</x:v>
      </x:c>
      <x:c r="I111" t="n">
        <x:v>5</x:v>
      </x:c>
      <x:c r="J111" t="n">
        <x:v>4</x:v>
      </x:c>
      <x:c r="K111" t="str">
        <x:f>IF(OR(H111="Pending",H111="Processing"),"Open",IF(I111&lt;=J111,"Yes","No"))</x:f>
        <x:v>Open</x:v>
      </x:c>
      <x:c r="L111" t="str"/>
      <x:c r="M111" s="12" t="n">
        <x:v>46162</x:v>
      </x:c>
      <x:c r="N111" s="12"/>
      <x:c r="O111" t="str">
        <x:v>No</x:v>
      </x:c>
      <x:c r="P111" t="str">
        <x:v>Standard</x:v>
      </x:c>
    </x:row>
    <x:row r="112">
      <x:c r="A112" t="str">
        <x:v>FIL-20260111</x:v>
      </x:c>
      <x:c r="B112" t="str">
        <x:v>Legacy Systems Foundation Inc.</x:v>
      </x:c>
      <x:c r="C112" t="str">
        <x:v>Nonprofit Corporation</x:v>
      </x:c>
      <x:c r="D112" t="str">
        <x:v>Delaware</x:v>
      </x:c>
      <x:c r="E112" t="str">
        <x:v>Nonprofit Corporation Formation</x:v>
      </x:c>
      <x:c r="F112" t="str">
        <x:v>Online</x:v>
      </x:c>
      <x:c r="G112" t="str">
        <x:v>Delaware Processing Team</x:v>
      </x:c>
      <x:c r="H112" t="str">
        <x:v>Completed</x:v>
      </x:c>
      <x:c r="I112" t="n">
        <x:v>4</x:v>
      </x:c>
      <x:c r="J112" t="n">
        <x:v>1</x:v>
      </x:c>
      <x:c r="K112" t="str">
        <x:f>IF(OR(H112="Pending",H112="Processing"),"Open",IF(I112&lt;=J112,"Yes","No"))</x:f>
        <x:v>No</x:v>
      </x:c>
      <x:c r="L112" t="str"/>
      <x:c r="M112" s="12" t="n">
        <x:v>46047</x:v>
      </x:c>
      <x:c r="N112" s="12" t="n">
        <x:v>46051</x:v>
      </x:c>
      <x:c r="O112" t="str">
        <x:v>Yes</x:v>
      </x:c>
      <x:c r="P112" t="str">
        <x:v>Urgent</x:v>
      </x:c>
    </x:row>
    <x:row r="113">
      <x:c r="A113" t="str">
        <x:v>FIL-20260112</x:v>
      </x:c>
      <x:c r="B113" t="str">
        <x:v>Pioneer Development L.P.</x:v>
      </x:c>
      <x:c r="C113" t="str">
        <x:v>LP</x:v>
      </x:c>
      <x:c r="D113" t="str">
        <x:v>Illinois</x:v>
      </x:c>
      <x:c r="E113" t="str">
        <x:v>Annual Report</x:v>
      </x:c>
      <x:c r="F113" t="str">
        <x:v>Expedited</x:v>
      </x:c>
      <x:c r="G113" t="str">
        <x:v>Illinois Fulfillment Team</x:v>
      </x:c>
      <x:c r="H113" t="str">
        <x:v>Pending</x:v>
      </x:c>
      <x:c r="I113" t="n">
        <x:v>0</x:v>
      </x:c>
      <x:c r="J113" t="n">
        <x:v>2</x:v>
      </x:c>
      <x:c r="K113" t="str">
        <x:f>IF(OR(H113="Pending",H113="Processing"),"Open",IF(I113&lt;=J113,"Yes","No"))</x:f>
        <x:v>Open</x:v>
      </x:c>
      <x:c r="L113" t="str"/>
      <x:c r="M113" s="12" t="n">
        <x:v>46152</x:v>
      </x:c>
      <x:c r="N113" s="12"/>
      <x:c r="O113" t="str">
        <x:v>Yes</x:v>
      </x:c>
      <x:c r="P113" t="str">
        <x:v>Standard</x:v>
      </x:c>
    </x:row>
    <x:row r="114">
      <x:c r="A114" t="str">
        <x:v>FIL-20260113</x:v>
      </x:c>
      <x:c r="B114" t="str">
        <x:v>Atlantic Services Institute Inc.</x:v>
      </x:c>
      <x:c r="C114" t="str">
        <x:v>Nonprofit Corporation</x:v>
      </x:c>
      <x:c r="D114" t="str">
        <x:v>Georgia</x:v>
      </x:c>
      <x:c r="E114" t="str">
        <x:v>Registered Agent Change</x:v>
      </x:c>
      <x:c r="F114" t="str">
        <x:v>Online</x:v>
      </x:c>
      <x:c r="G114" t="str">
        <x:v>Southeast Processing Team</x:v>
      </x:c>
      <x:c r="H114" t="str">
        <x:v>Pending</x:v>
      </x:c>
      <x:c r="I114" t="n">
        <x:v>2</x:v>
      </x:c>
      <x:c r="J114" t="n">
        <x:v>4</x:v>
      </x:c>
      <x:c r="K114" t="str">
        <x:f>IF(OR(H114="Pending",H114="Processing"),"Open",IF(I114&lt;=J114,"Yes","No"))</x:f>
        <x:v>Open</x:v>
      </x:c>
      <x:c r="L114" t="str"/>
      <x:c r="M114" s="12" t="n">
        <x:v>46035</x:v>
      </x:c>
      <x:c r="N114" s="12"/>
      <x:c r="O114" t="str">
        <x:v>No</x:v>
      </x:c>
      <x:c r="P114" t="str">
        <x:v>Standard</x:v>
      </x:c>
    </x:row>
    <x:row r="115">
      <x:c r="A115" t="str">
        <x:v>FIL-20260114</x:v>
      </x:c>
      <x:c r="B115" t="str">
        <x:v>Golden Coast Solutions L.P.</x:v>
      </x:c>
      <x:c r="C115" t="str">
        <x:v>LP</x:v>
      </x:c>
      <x:c r="D115" t="str">
        <x:v>Virginia</x:v>
      </x:c>
      <x:c r="E115" t="str">
        <x:v>Limited Partnership Formation</x:v>
      </x:c>
      <x:c r="F115" t="str">
        <x:v>Online</x:v>
      </x:c>
      <x:c r="G115" t="str">
        <x:v>Virginia Processing Team</x:v>
      </x:c>
      <x:c r="H115" t="str">
        <x:v>Completed</x:v>
      </x:c>
      <x:c r="I115" t="n">
        <x:v>1</x:v>
      </x:c>
      <x:c r="J115" t="n">
        <x:v>4</x:v>
      </x:c>
      <x:c r="K115" t="str">
        <x:f>IF(OR(H115="Pending",H115="Processing"),"Open",IF(I115&lt;=J115,"Yes","No"))</x:f>
        <x:v>Yes</x:v>
      </x:c>
      <x:c r="L115" t="str"/>
      <x:c r="M115" s="12" t="n">
        <x:v>46184</x:v>
      </x:c>
      <x:c r="N115" s="12" t="n">
        <x:v>46185</x:v>
      </x:c>
      <x:c r="O115" t="str">
        <x:v>No</x:v>
      </x:c>
      <x:c r="P115" t="str">
        <x:v>Standard</x:v>
      </x:c>
    </x:row>
    <x:row r="116">
      <x:c r="A116" t="str">
        <x:v>FIL-20260115</x:v>
      </x:c>
      <x:c r="B116" t="str">
        <x:v>Horizon Resources Association Inc.</x:v>
      </x:c>
      <x:c r="C116" t="str">
        <x:v>Nonprofit Corporation</x:v>
      </x:c>
      <x:c r="D116" t="str">
        <x:v>Florida</x:v>
      </x:c>
      <x:c r="E116" t="str">
        <x:v>Registered Agent Change</x:v>
      </x:c>
      <x:c r="F116" t="str">
        <x:v>OTC</x:v>
      </x:c>
      <x:c r="G116" t="str">
        <x:v>Florida OTC Fulfillment</x:v>
      </x:c>
      <x:c r="H116" t="str">
        <x:v>Pending</x:v>
      </x:c>
      <x:c r="I116" t="n">
        <x:v>4</x:v>
      </x:c>
      <x:c r="J116" t="n">
        <x:v>3</x:v>
      </x:c>
      <x:c r="K116" t="str">
        <x:f>IF(OR(H116="Pending",H116="Processing"),"Open",IF(I116&lt;=J116,"Yes","No"))</x:f>
        <x:v>Open</x:v>
      </x:c>
      <x:c r="L116" t="str"/>
      <x:c r="M116" s="12" t="n">
        <x:v>46161</x:v>
      </x:c>
      <x:c r="N116" s="12"/>
      <x:c r="O116" t="str">
        <x:v>No</x:v>
      </x:c>
      <x:c r="P116" t="str">
        <x:v>Standard</x:v>
      </x:c>
    </x:row>
    <x:row r="117">
      <x:c r="A117" t="str">
        <x:v>FIL-20260116</x:v>
      </x:c>
      <x:c r="B117" t="str">
        <x:v>Capital Development P.L.L.C.</x:v>
      </x:c>
      <x:c r="C117" t="str">
        <x:v>PLLC</x:v>
      </x:c>
      <x:c r="D117" t="str">
        <x:v>North Carolina</x:v>
      </x:c>
      <x:c r="E117" t="str">
        <x:v>Annual Report</x:v>
      </x:c>
      <x:c r="F117" t="str">
        <x:v>Online</x:v>
      </x:c>
      <x:c r="G117" t="str">
        <x:v>North Carolina Processing Team</x:v>
      </x:c>
      <x:c r="H117" t="str">
        <x:v>Completed</x:v>
      </x:c>
      <x:c r="I117" t="n">
        <x:v>2</x:v>
      </x:c>
      <x:c r="J117" t="n">
        <x:v>4</x:v>
      </x:c>
      <x:c r="K117" t="str">
        <x:f>IF(OR(H117="Pending",H117="Processing"),"Open",IF(I117&lt;=J117,"Yes","No"))</x:f>
        <x:v>Yes</x:v>
      </x:c>
      <x:c r="L117" t="str"/>
      <x:c r="M117" s="12" t="n">
        <x:v>46035</x:v>
      </x:c>
      <x:c r="N117" s="12" t="n">
        <x:v>46037</x:v>
      </x:c>
      <x:c r="O117" t="str">
        <x:v>No</x:v>
      </x:c>
      <x:c r="P117" t="str">
        <x:v>Standard</x:v>
      </x:c>
    </x:row>
    <x:row r="118">
      <x:c r="A118" t="str">
        <x:v>FIL-20260117</x:v>
      </x:c>
      <x:c r="B118" t="str">
        <x:v>Oakmont Management LLC</x:v>
      </x:c>
      <x:c r="C118" t="str">
        <x:v>LLC</x:v>
      </x:c>
      <x:c r="D118" t="str">
        <x:v>Florida</x:v>
      </x:c>
      <x:c r="E118" t="str">
        <x:v>LLC Formation</x:v>
      </x:c>
      <x:c r="F118" t="str">
        <x:v>Online</x:v>
      </x:c>
      <x:c r="G118" t="str">
        <x:v>Florida Online Fulfillment</x:v>
      </x:c>
      <x:c r="H118" t="str">
        <x:v>Completed</x:v>
      </x:c>
      <x:c r="I118" t="n">
        <x:v>4</x:v>
      </x:c>
      <x:c r="J118" t="n">
        <x:v>3</x:v>
      </x:c>
      <x:c r="K118" t="str">
        <x:f>IF(OR(H118="Pending",H118="Processing"),"Open",IF(I118&lt;=J118,"Yes","No"))</x:f>
        <x:v>No</x:v>
      </x:c>
      <x:c r="L118" t="str"/>
      <x:c r="M118" s="12" t="n">
        <x:v>46105</x:v>
      </x:c>
      <x:c r="N118" s="12" t="n">
        <x:v>46109</x:v>
      </x:c>
      <x:c r="O118" t="str">
        <x:v>No</x:v>
      </x:c>
      <x:c r="P118" t="str">
        <x:v>Standard</x:v>
      </x:c>
    </x:row>
    <x:row r="119">
      <x:c r="A119" t="str">
        <x:v>FIL-20260118</x:v>
      </x:c>
      <x:c r="B119" t="str">
        <x:v>Sterling Development Corp.</x:v>
      </x:c>
      <x:c r="C119" t="str">
        <x:v>Profit Corporation</x:v>
      </x:c>
      <x:c r="D119" t="str">
        <x:v>California</x:v>
      </x:c>
      <x:c r="E119" t="str">
        <x:v>Corporation Amendment</x:v>
      </x:c>
      <x:c r="F119" t="str">
        <x:v>Mail</x:v>
      </x:c>
      <x:c r="G119" t="str">
        <x:v>West Coast Processing Team</x:v>
      </x:c>
      <x:c r="H119" t="str">
        <x:v>Completed</x:v>
      </x:c>
      <x:c r="I119" t="n">
        <x:v>2</x:v>
      </x:c>
      <x:c r="J119" t="n">
        <x:v>7</x:v>
      </x:c>
      <x:c r="K119" t="str">
        <x:f>IF(OR(H119="Pending",H119="Processing"),"Open",IF(I119&lt;=J119,"Yes","No"))</x:f>
        <x:v>Yes</x:v>
      </x:c>
      <x:c r="L119" t="str"/>
      <x:c r="M119" s="12" t="n">
        <x:v>46134</x:v>
      </x:c>
      <x:c r="N119" s="12" t="n">
        <x:v>46136</x:v>
      </x:c>
      <x:c r="O119" t="str">
        <x:v>No</x:v>
      </x:c>
      <x:c r="P119" t="str">
        <x:v>Standard</x:v>
      </x:c>
    </x:row>
    <x:row r="120">
      <x:c r="A120" t="str">
        <x:v>FIL-20260119</x:v>
      </x:c>
      <x:c r="B120" t="str">
        <x:v>Evergreen Advisors Corp.</x:v>
      </x:c>
      <x:c r="C120" t="str">
        <x:v>Profit Corporation</x:v>
      </x:c>
      <x:c r="D120" t="str">
        <x:v>Florida</x:v>
      </x:c>
      <x:c r="E120" t="str">
        <x:v>Reinstatement</x:v>
      </x:c>
      <x:c r="F120" t="str">
        <x:v>OTC</x:v>
      </x:c>
      <x:c r="G120" t="str">
        <x:v>Florida OTC Fulfillment</x:v>
      </x:c>
      <x:c r="H120" t="str">
        <x:v>Completed</x:v>
      </x:c>
      <x:c r="I120" t="n">
        <x:v>6</x:v>
      </x:c>
      <x:c r="J120" t="n">
        <x:v>3</x:v>
      </x:c>
      <x:c r="K120" t="str">
        <x:f>IF(OR(H120="Pending",H120="Processing"),"Open",IF(I120&lt;=J120,"Yes","No"))</x:f>
        <x:v>No</x:v>
      </x:c>
      <x:c r="L120" t="str"/>
      <x:c r="M120" s="12" t="n">
        <x:v>46163</x:v>
      </x:c>
      <x:c r="N120" s="12" t="n">
        <x:v>46169</x:v>
      </x:c>
      <x:c r="O120" t="str">
        <x:v>No</x:v>
      </x:c>
      <x:c r="P120" t="str">
        <x:v>Standard</x:v>
      </x:c>
    </x:row>
    <x:row r="121">
      <x:c r="A121" t="str">
        <x:v>FIL-20260120</x:v>
      </x:c>
      <x:c r="B121" t="str">
        <x:v>Horizon Partners LLC</x:v>
      </x:c>
      <x:c r="C121" t="str">
        <x:v>LLC</x:v>
      </x:c>
      <x:c r="D121" t="str">
        <x:v>New York</x:v>
      </x:c>
      <x:c r="E121" t="str">
        <x:v>Principal Address Update</x:v>
      </x:c>
      <x:c r="F121" t="str">
        <x:v>Mail</x:v>
      </x:c>
      <x:c r="G121" t="str">
        <x:v>Northeast Processing Team</x:v>
      </x:c>
      <x:c r="H121" t="str">
        <x:v>Pending</x:v>
      </x:c>
      <x:c r="I121" t="n">
        <x:v>2</x:v>
      </x:c>
      <x:c r="J121" t="n">
        <x:v>7</x:v>
      </x:c>
      <x:c r="K121" t="str">
        <x:f>IF(OR(H121="Pending",H121="Processing"),"Open",IF(I121&lt;=J121,"Yes","No"))</x:f>
        <x:v>Open</x:v>
      </x:c>
      <x:c r="L121" t="str"/>
      <x:c r="M121" s="12" t="n">
        <x:v>46067</x:v>
      </x:c>
      <x:c r="N121" s="12"/>
      <x:c r="O121" t="str">
        <x:v>Yes</x:v>
      </x:c>
      <x:c r="P121" t="str">
        <x:v>Standard</x:v>
      </x:c>
    </x:row>
    <x:row r="122">
      <x:c r="A122" t="str">
        <x:v>FIL-20260121</x:v>
      </x:c>
      <x:c r="B122" t="str">
        <x:v>NorthStar Management Inc.</x:v>
      </x:c>
      <x:c r="C122" t="str">
        <x:v>Profit Corporation</x:v>
      </x:c>
      <x:c r="D122" t="str">
        <x:v>Florida</x:v>
      </x:c>
      <x:c r="E122" t="str">
        <x:v>Foreign Corporation Qualification</x:v>
      </x:c>
      <x:c r="F122" t="str">
        <x:v>Online</x:v>
      </x:c>
      <x:c r="G122" t="str">
        <x:v>Florida Online Fulfillment</x:v>
      </x:c>
      <x:c r="H122" t="str">
        <x:v>Processing</x:v>
      </x:c>
      <x:c r="I122" t="n">
        <x:v>2</x:v>
      </x:c>
      <x:c r="J122" t="n">
        <x:v>3</x:v>
      </x:c>
      <x:c r="K122" t="str">
        <x:f>IF(OR(H122="Pending",H122="Processing"),"Open",IF(I122&lt;=J122,"Yes","No"))</x:f>
        <x:v>Open</x:v>
      </x:c>
      <x:c r="L122" t="str"/>
      <x:c r="M122" s="12" t="n">
        <x:v>46145</x:v>
      </x:c>
      <x:c r="N122" s="12"/>
      <x:c r="O122" t="str">
        <x:v>No</x:v>
      </x:c>
      <x:c r="P122" t="str">
        <x:v>Standard</x:v>
      </x:c>
    </x:row>
    <x:row r="123">
      <x:c r="A123" t="str">
        <x:v>FIL-20260122</x:v>
      </x:c>
      <x:c r="B123" t="str">
        <x:v>NorthStar Management Inc.</x:v>
      </x:c>
      <x:c r="C123" t="str">
        <x:v>Profit Corporation</x:v>
      </x:c>
      <x:c r="D123" t="str">
        <x:v>Texas</x:v>
      </x:c>
      <x:c r="E123" t="str">
        <x:v>Foreign Corporation Qualification</x:v>
      </x:c>
      <x:c r="F123" t="str">
        <x:v>Mail</x:v>
      </x:c>
      <x:c r="G123" t="str">
        <x:v>Texas Filing Operations</x:v>
      </x:c>
      <x:c r="H123" t="str">
        <x:v>Completed</x:v>
      </x:c>
      <x:c r="I123" t="n">
        <x:v>10</x:v>
      </x:c>
      <x:c r="J123" t="n">
        <x:v>6</x:v>
      </x:c>
      <x:c r="K123" t="str">
        <x:f>IF(OR(H123="Pending",H123="Processing"),"Open",IF(I123&lt;=J123,"Yes","No"))</x:f>
        <x:v>No</x:v>
      </x:c>
      <x:c r="L123" t="str"/>
      <x:c r="M123" s="12" t="n">
        <x:v>46162</x:v>
      </x:c>
      <x:c r="N123" s="12" t="n">
        <x:v>46172</x:v>
      </x:c>
      <x:c r="O123" t="str">
        <x:v>No</x:v>
      </x:c>
      <x:c r="P123" t="str">
        <x:v>High</x:v>
      </x:c>
    </x:row>
    <x:row r="124">
      <x:c r="A124" t="str">
        <x:v>FIL-20260123</x:v>
      </x:c>
      <x:c r="B124" t="str">
        <x:v>Magnolia Compliance Inc.</x:v>
      </x:c>
      <x:c r="C124" t="str">
        <x:v>Profit Corporation</x:v>
      </x:c>
      <x:c r="D124" t="str">
        <x:v>California</x:v>
      </x:c>
      <x:c r="E124" t="str">
        <x:v>Profit Corporation Formation</x:v>
      </x:c>
      <x:c r="F124" t="str">
        <x:v>Mail</x:v>
      </x:c>
      <x:c r="G124" t="str">
        <x:v>West Coast Processing Team</x:v>
      </x:c>
      <x:c r="H124" t="str">
        <x:v>Processing</x:v>
      </x:c>
      <x:c r="I124" t="n">
        <x:v>7</x:v>
      </x:c>
      <x:c r="J124" t="n">
        <x:v>7</x:v>
      </x:c>
      <x:c r="K124" t="str">
        <x:f>IF(OR(H124="Pending",H124="Processing"),"Open",IF(I124&lt;=J124,"Yes","No"))</x:f>
        <x:v>Open</x:v>
      </x:c>
      <x:c r="L124" t="str"/>
      <x:c r="M124" s="12" t="n">
        <x:v>46127</x:v>
      </x:c>
      <x:c r="N124" s="12"/>
      <x:c r="O124" t="str">
        <x:v>No</x:v>
      </x:c>
      <x:c r="P124" t="str">
        <x:v>Standard</x:v>
      </x:c>
    </x:row>
    <x:row r="125">
      <x:c r="A125" t="str">
        <x:v>FIL-20260124</x:v>
      </x:c>
      <x:c r="B125" t="str">
        <x:v>Sunrise Services LLC</x:v>
      </x:c>
      <x:c r="C125" t="str">
        <x:v>LLC</x:v>
      </x:c>
      <x:c r="D125" t="str">
        <x:v>Illinois</x:v>
      </x:c>
      <x:c r="E125" t="str">
        <x:v>Foreign LLC Qualification</x:v>
      </x:c>
      <x:c r="F125" t="str">
        <x:v>Mail</x:v>
      </x:c>
      <x:c r="G125" t="str">
        <x:v>Illinois Fulfillment Team</x:v>
      </x:c>
      <x:c r="H125" t="str">
        <x:v>Completed</x:v>
      </x:c>
      <x:c r="I125" t="n">
        <x:v>1</x:v>
      </x:c>
      <x:c r="J125" t="n">
        <x:v>6</x:v>
      </x:c>
      <x:c r="K125" t="str">
        <x:f>IF(OR(H125="Pending",H125="Processing"),"Open",IF(I125&lt;=J125,"Yes","No"))</x:f>
        <x:v>Yes</x:v>
      </x:c>
      <x:c r="L125" t="str"/>
      <x:c r="M125" s="12" t="n">
        <x:v>46048</x:v>
      </x:c>
      <x:c r="N125" s="12" t="n">
        <x:v>46049</x:v>
      </x:c>
      <x:c r="O125" t="str">
        <x:v>Yes</x:v>
      </x:c>
      <x:c r="P125" t="str">
        <x:v>High</x:v>
      </x:c>
    </x:row>
    <x:row r="126">
      <x:c r="A126" t="str">
        <x:v>FIL-20260125</x:v>
      </x:c>
      <x:c r="B126" t="str">
        <x:v>Oakmont Technologies P.L.L.C.</x:v>
      </x:c>
      <x:c r="C126" t="str">
        <x:v>PLLC</x:v>
      </x:c>
      <x:c r="D126" t="str">
        <x:v>North Carolina</x:v>
      </x:c>
      <x:c r="E126" t="str">
        <x:v>Annual Report</x:v>
      </x:c>
      <x:c r="F126" t="str">
        <x:v>Online</x:v>
      </x:c>
      <x:c r="G126" t="str">
        <x:v>North Carolina Processing Team</x:v>
      </x:c>
      <x:c r="H126" t="str">
        <x:v>Completed</x:v>
      </x:c>
      <x:c r="I126" t="n">
        <x:v>2</x:v>
      </x:c>
      <x:c r="J126" t="n">
        <x:v>4</x:v>
      </x:c>
      <x:c r="K126" t="str">
        <x:f>IF(OR(H126="Pending",H126="Processing"),"Open",IF(I126&lt;=J126,"Yes","No"))</x:f>
        <x:v>Yes</x:v>
      </x:c>
      <x:c r="L126" t="str"/>
      <x:c r="M126" s="12" t="n">
        <x:v>46088</x:v>
      </x:c>
      <x:c r="N126" s="12" t="n">
        <x:v>46090</x:v>
      </x:c>
      <x:c r="O126" t="str">
        <x:v>No</x:v>
      </x:c>
      <x:c r="P126" t="str">
        <x:v>High</x:v>
      </x:c>
    </x:row>
    <x:row r="127">
      <x:c r="A127" t="str">
        <x:v>FIL-20260126</x:v>
      </x:c>
      <x:c r="B127" t="str">
        <x:v>Pioneer Advisors L.L.C.</x:v>
      </x:c>
      <x:c r="C127" t="str">
        <x:v>LLC</x:v>
      </x:c>
      <x:c r="D127" t="str">
        <x:v>Delaware</x:v>
      </x:c>
      <x:c r="E127" t="str">
        <x:v>Foreign LLC Qualification</x:v>
      </x:c>
      <x:c r="F127" t="str">
        <x:v>Mail</x:v>
      </x:c>
      <x:c r="G127" t="str">
        <x:v>Delaware Processing Team</x:v>
      </x:c>
      <x:c r="H127" t="str">
        <x:v>Processing</x:v>
      </x:c>
      <x:c r="I127" t="n">
        <x:v>7</x:v>
      </x:c>
      <x:c r="J127" t="n">
        <x:v>4</x:v>
      </x:c>
      <x:c r="K127" t="str">
        <x:f>IF(OR(H127="Pending",H127="Processing"),"Open",IF(I127&lt;=J127,"Yes","No"))</x:f>
        <x:v>Open</x:v>
      </x:c>
      <x:c r="L127" t="str"/>
      <x:c r="M127" s="12" t="n">
        <x:v>46166</x:v>
      </x:c>
      <x:c r="N127" s="12"/>
      <x:c r="O127" t="str">
        <x:v>Yes</x:v>
      </x:c>
      <x:c r="P127" t="str">
        <x:v>Standard</x:v>
      </x:c>
    </x:row>
    <x:row r="128">
      <x:c r="A128" t="str">
        <x:v>FIL-20260127</x:v>
      </x:c>
      <x:c r="B128" t="str">
        <x:v>Oakmont Development Inc.</x:v>
      </x:c>
      <x:c r="C128" t="str">
        <x:v>Profit Corporation</x:v>
      </x:c>
      <x:c r="D128" t="str">
        <x:v>Texas</x:v>
      </x:c>
      <x:c r="E128" t="str">
        <x:v>Profit Corporation Formation</x:v>
      </x:c>
      <x:c r="F128" t="str">
        <x:v>Online</x:v>
      </x:c>
      <x:c r="G128" t="str">
        <x:v>Texas Filing Operations</x:v>
      </x:c>
      <x:c r="H128" t="str">
        <x:v>Completed</x:v>
      </x:c>
      <x:c r="I128" t="n">
        <x:v>6</x:v>
      </x:c>
      <x:c r="J128" t="n">
        <x:v>4</x:v>
      </x:c>
      <x:c r="K128" t="str">
        <x:f>IF(OR(H128="Pending",H128="Processing"),"Open",IF(I128&lt;=J128,"Yes","No"))</x:f>
        <x:v>No</x:v>
      </x:c>
      <x:c r="L128" t="str"/>
      <x:c r="M128" s="12" t="n">
        <x:v>46127</x:v>
      </x:c>
      <x:c r="N128" s="12" t="n">
        <x:v>46133</x:v>
      </x:c>
      <x:c r="O128" t="str">
        <x:v>No</x:v>
      </x:c>
      <x:c r="P128" t="str">
        <x:v>Urgent</x:v>
      </x:c>
    </x:row>
    <x:row r="129">
      <x:c r="A129" t="str">
        <x:v>FIL-20260128</x:v>
      </x:c>
      <x:c r="B129" t="str">
        <x:v>First State Management L.L.P.</x:v>
      </x:c>
      <x:c r="C129" t="str">
        <x:v>LLP</x:v>
      </x:c>
      <x:c r="D129" t="str">
        <x:v>Delaware</x:v>
      </x:c>
      <x:c r="E129" t="str">
        <x:v>Annual Report</x:v>
      </x:c>
      <x:c r="F129" t="str">
        <x:v>Mail</x:v>
      </x:c>
      <x:c r="G129" t="str">
        <x:v>Delaware Processing Team</x:v>
      </x:c>
      <x:c r="H129" t="str">
        <x:v>Rejected</x:v>
      </x:c>
      <x:c r="I129" t="n">
        <x:v>6</x:v>
      </x:c>
      <x:c r="J129" t="n">
        <x:v>4</x:v>
      </x:c>
      <x:c r="K129" t="str">
        <x:f>IF(OR(H129="Pending",H129="Processing"),"Open",IF(I129&lt;=J129,"Yes","No"))</x:f>
        <x:v>No</x:v>
      </x:c>
      <x:c r="L129" t="str">
        <x:v>Missing Cover Letter</x:v>
      </x:c>
      <x:c r="M129" s="12" t="n">
        <x:v>46025</x:v>
      </x:c>
      <x:c r="N129" s="12"/>
      <x:c r="O129" t="str">
        <x:v>Yes</x:v>
      </x:c>
      <x:c r="P129" t="str">
        <x:v>Standard</x:v>
      </x:c>
    </x:row>
    <x:row r="130">
      <x:c r="A130" t="str">
        <x:v>FIL-20260129</x:v>
      </x:c>
      <x:c r="B130" t="str">
        <x:v>Crescent Group Institute Inc.</x:v>
      </x:c>
      <x:c r="C130" t="str">
        <x:v>Nonprofit Corporation</x:v>
      </x:c>
      <x:c r="D130" t="str">
        <x:v>North Carolina</x:v>
      </x:c>
      <x:c r="E130" t="str">
        <x:v>Registered Agent Change</x:v>
      </x:c>
      <x:c r="F130" t="str">
        <x:v>Mail</x:v>
      </x:c>
      <x:c r="G130" t="str">
        <x:v>North Carolina Processing Team</x:v>
      </x:c>
      <x:c r="H130" t="str">
        <x:v>Completed</x:v>
      </x:c>
      <x:c r="I130" t="n">
        <x:v>8</x:v>
      </x:c>
      <x:c r="J130" t="n">
        <x:v>6</x:v>
      </x:c>
      <x:c r="K130" t="str">
        <x:f>IF(OR(H130="Pending",H130="Processing"),"Open",IF(I130&lt;=J130,"Yes","No"))</x:f>
        <x:v>No</x:v>
      </x:c>
      <x:c r="L130" t="str"/>
      <x:c r="M130" s="12" t="n">
        <x:v>46090</x:v>
      </x:c>
      <x:c r="N130" s="12" t="n">
        <x:v>46098</x:v>
      </x:c>
      <x:c r="O130" t="str">
        <x:v>No</x:v>
      </x:c>
      <x:c r="P130" t="str">
        <x:v>Standard</x:v>
      </x:c>
    </x:row>
    <x:row r="131">
      <x:c r="A131" t="str">
        <x:v>FIL-20260130</x:v>
      </x:c>
      <x:c r="B131" t="str">
        <x:v>Sunrise Partners LLC</x:v>
      </x:c>
      <x:c r="C131" t="str">
        <x:v>LLC</x:v>
      </x:c>
      <x:c r="D131" t="str">
        <x:v>Illinois</x:v>
      </x:c>
      <x:c r="E131" t="str">
        <x:v>LLC Amendment</x:v>
      </x:c>
      <x:c r="F131" t="str">
        <x:v>Online</x:v>
      </x:c>
      <x:c r="G131" t="str">
        <x:v>Illinois Online Fulfillment</x:v>
      </x:c>
      <x:c r="H131" t="str">
        <x:v>Processing</x:v>
      </x:c>
      <x:c r="I131" t="n">
        <x:v>4</x:v>
      </x:c>
      <x:c r="J131" t="n">
        <x:v>3</x:v>
      </x:c>
      <x:c r="K131" t="str">
        <x:f>IF(OR(H131="Pending",H131="Processing"),"Open",IF(I131&lt;=J131,"Yes","No"))</x:f>
        <x:v>Open</x:v>
      </x:c>
      <x:c r="L131" t="str"/>
      <x:c r="M131" s="12" t="n">
        <x:v>46059</x:v>
      </x:c>
      <x:c r="N131" s="12"/>
      <x:c r="O131" t="str">
        <x:v>Yes</x:v>
      </x:c>
      <x:c r="P131" t="str">
        <x:v>Urgent</x:v>
      </x:c>
    </x:row>
    <x:row r="132">
      <x:c r="A132" t="str">
        <x:v>FIL-20260131</x:v>
      </x:c>
      <x:c r="B132" t="str">
        <x:v>Evergreen Resources Foundation Inc.</x:v>
      </x:c>
      <x:c r="C132" t="str">
        <x:v>Nonprofit Corporation</x:v>
      </x:c>
      <x:c r="D132" t="str">
        <x:v>Florida</x:v>
      </x:c>
      <x:c r="E132" t="str">
        <x:v>Nonprofit Corporation Formation</x:v>
      </x:c>
      <x:c r="F132" t="str">
        <x:v>OTC</x:v>
      </x:c>
      <x:c r="G132" t="str">
        <x:v>Florida OTC Fulfillment</x:v>
      </x:c>
      <x:c r="H132" t="str">
        <x:v>Processing</x:v>
      </x:c>
      <x:c r="I132" t="n">
        <x:v>5</x:v>
      </x:c>
      <x:c r="J132" t="n">
        <x:v>3</x:v>
      </x:c>
      <x:c r="K132" t="str">
        <x:f>IF(OR(H132="Pending",H132="Processing"),"Open",IF(I132&lt;=J132,"Yes","No"))</x:f>
        <x:v>Open</x:v>
      </x:c>
      <x:c r="L132" t="str"/>
      <x:c r="M132" s="12" t="n">
        <x:v>46033</x:v>
      </x:c>
      <x:c r="N132" s="12"/>
      <x:c r="O132" t="str">
        <x:v>No</x:v>
      </x:c>
      <x:c r="P132" t="str">
        <x:v>High</x:v>
      </x:c>
    </x:row>
    <x:row r="133">
      <x:c r="A133" t="str">
        <x:v>FIL-20260132</x:v>
      </x:c>
      <x:c r="B133" t="str">
        <x:v>Pioneer Resources Corporation</x:v>
      </x:c>
      <x:c r="C133" t="str">
        <x:v>Profit Corporation</x:v>
      </x:c>
      <x:c r="D133" t="str">
        <x:v>Georgia</x:v>
      </x:c>
      <x:c r="E133" t="str">
        <x:v>Foreign Corporation Qualification</x:v>
      </x:c>
      <x:c r="F133" t="str">
        <x:v>Mail</x:v>
      </x:c>
      <x:c r="G133" t="str">
        <x:v>Southeast Processing Team</x:v>
      </x:c>
      <x:c r="H133" t="str">
        <x:v>Pending</x:v>
      </x:c>
      <x:c r="I133" t="n">
        <x:v>7</x:v>
      </x:c>
      <x:c r="J133" t="n">
        <x:v>6</x:v>
      </x:c>
      <x:c r="K133" t="str">
        <x:f>IF(OR(H133="Pending",H133="Processing"),"Open",IF(I133&lt;=J133,"Yes","No"))</x:f>
        <x:v>Open</x:v>
      </x:c>
      <x:c r="L133" t="str"/>
      <x:c r="M133" s="12" t="n">
        <x:v>46052</x:v>
      </x:c>
      <x:c r="N133" s="12"/>
      <x:c r="O133" t="str">
        <x:v>No</x:v>
      </x:c>
      <x:c r="P133" t="str">
        <x:v>High</x:v>
      </x:c>
    </x:row>
    <x:row r="134">
      <x:c r="A134" t="str">
        <x:v>FIL-20260133</x:v>
      </x:c>
      <x:c r="B134" t="str">
        <x:v>Blue Ridge Solutions Corp.</x:v>
      </x:c>
      <x:c r="C134" t="str">
        <x:v>Profit Corporation</x:v>
      </x:c>
      <x:c r="D134" t="str">
        <x:v>Georgia</x:v>
      </x:c>
      <x:c r="E134" t="str">
        <x:v>Foreign Corporation Qualification</x:v>
      </x:c>
      <x:c r="F134" t="str">
        <x:v>Online</x:v>
      </x:c>
      <x:c r="G134" t="str">
        <x:v>Southeast Processing Team</x:v>
      </x:c>
      <x:c r="H134" t="str">
        <x:v>Completed</x:v>
      </x:c>
      <x:c r="I134" t="n">
        <x:v>1</x:v>
      </x:c>
      <x:c r="J134" t="n">
        <x:v>4</x:v>
      </x:c>
      <x:c r="K134" t="str">
        <x:f>IF(OR(H134="Pending",H134="Processing"),"Open",IF(I134&lt;=J134,"Yes","No"))</x:f>
        <x:v>Yes</x:v>
      </x:c>
      <x:c r="L134" t="str"/>
      <x:c r="M134" s="12" t="n">
        <x:v>46197</x:v>
      </x:c>
      <x:c r="N134" s="12" t="n">
        <x:v>46198</x:v>
      </x:c>
      <x:c r="O134" t="str">
        <x:v>No</x:v>
      </x:c>
      <x:c r="P134" t="str">
        <x:v>Standard</x:v>
      </x:c>
    </x:row>
    <x:row r="135">
      <x:c r="A135" t="str">
        <x:v>FIL-20260134</x:v>
      </x:c>
      <x:c r="B135" t="str">
        <x:v>Atlantic Enterprises L.L.P.</x:v>
      </x:c>
      <x:c r="C135" t="str">
        <x:v>LLP</x:v>
      </x:c>
      <x:c r="D135" t="str">
        <x:v>Florida</x:v>
      </x:c>
      <x:c r="E135" t="str">
        <x:v>Limited Liability Partnership Registration</x:v>
      </x:c>
      <x:c r="F135" t="str">
        <x:v>OTC</x:v>
      </x:c>
      <x:c r="G135" t="str">
        <x:v>Florida OTC Fulfillment</x:v>
      </x:c>
      <x:c r="H135" t="str">
        <x:v>Pending</x:v>
      </x:c>
      <x:c r="I135" t="n">
        <x:v>4</x:v>
      </x:c>
      <x:c r="J135" t="n">
        <x:v>3</x:v>
      </x:c>
      <x:c r="K135" t="str">
        <x:f>IF(OR(H135="Pending",H135="Processing"),"Open",IF(I135&lt;=J135,"Yes","No"))</x:f>
        <x:v>Open</x:v>
      </x:c>
      <x:c r="L135" t="str"/>
      <x:c r="M135" s="12" t="n">
        <x:v>46196</x:v>
      </x:c>
      <x:c r="N135" s="12"/>
      <x:c r="O135" t="str">
        <x:v>No</x:v>
      </x:c>
      <x:c r="P135" t="str">
        <x:v>Urgent</x:v>
      </x:c>
    </x:row>
    <x:row r="136">
      <x:c r="A136" t="str">
        <x:v>FIL-20260135</x:v>
      </x:c>
      <x:c r="B136" t="str">
        <x:v>Oakmont Technologies L.L.C.</x:v>
      </x:c>
      <x:c r="C136" t="str">
        <x:v>LLC</x:v>
      </x:c>
      <x:c r="D136" t="str">
        <x:v>Maryland</x:v>
      </x:c>
      <x:c r="E136" t="str">
        <x:v>LLC Dissolution</x:v>
      </x:c>
      <x:c r="F136" t="str">
        <x:v>Online</x:v>
      </x:c>
      <x:c r="G136" t="str">
        <x:v>Maryland Processing Team</x:v>
      </x:c>
      <x:c r="H136" t="str">
        <x:v>Completed</x:v>
      </x:c>
      <x:c r="I136" t="n">
        <x:v>4</x:v>
      </x:c>
      <x:c r="J136" t="n">
        <x:v>4</x:v>
      </x:c>
      <x:c r="K136" t="str">
        <x:f>IF(OR(H136="Pending",H136="Processing"),"Open",IF(I136&lt;=J136,"Yes","No"))</x:f>
        <x:v>Yes</x:v>
      </x:c>
      <x:c r="L136" t="str"/>
      <x:c r="M136" s="12" t="n">
        <x:v>46109</x:v>
      </x:c>
      <x:c r="N136" s="12" t="n">
        <x:v>46113</x:v>
      </x:c>
      <x:c r="O136" t="str">
        <x:v>No</x:v>
      </x:c>
      <x:c r="P136" t="str">
        <x:v>Standard</x:v>
      </x:c>
    </x:row>
    <x:row r="137">
      <x:c r="A137" t="str">
        <x:v>FIL-20260136</x:v>
      </x:c>
      <x:c r="B137" t="str">
        <x:v>BrightPath Healthcare PLLC</x:v>
      </x:c>
      <x:c r="C137" t="str">
        <x:v>PLLC</x:v>
      </x:c>
      <x:c r="D137" t="str">
        <x:v>Washington D.C.</x:v>
      </x:c>
      <x:c r="E137" t="str">
        <x:v>Certificate of Status Request</x:v>
      </x:c>
      <x:c r="F137" t="str">
        <x:v>Mail</x:v>
      </x:c>
      <x:c r="G137" t="str">
        <x:v>DC Compliance Team</x:v>
      </x:c>
      <x:c r="H137" t="str">
        <x:v>Processing</x:v>
      </x:c>
      <x:c r="I137" t="n">
        <x:v>4</x:v>
      </x:c>
      <x:c r="J137" t="n">
        <x:v>5</x:v>
      </x:c>
      <x:c r="K137" t="str">
        <x:f>IF(OR(H137="Pending",H137="Processing"),"Open",IF(I137&lt;=J137,"Yes","No"))</x:f>
        <x:v>Open</x:v>
      </x:c>
      <x:c r="L137" t="str"/>
      <x:c r="M137" s="12" t="n">
        <x:v>46073</x:v>
      </x:c>
      <x:c r="N137" s="12"/>
      <x:c r="O137" t="str">
        <x:v>Yes</x:v>
      </x:c>
      <x:c r="P137" t="str">
        <x:v>Standard</x:v>
      </x:c>
    </x:row>
    <x:row r="138">
      <x:c r="A138" t="str">
        <x:v>FIL-20260137</x:v>
      </x:c>
      <x:c r="B138" t="str">
        <x:v>Oakmont Consulting L.P.</x:v>
      </x:c>
      <x:c r="C138" t="str">
        <x:v>LP</x:v>
      </x:c>
      <x:c r="D138" t="str">
        <x:v>Delaware</x:v>
      </x:c>
      <x:c r="E138" t="str">
        <x:v>Foreign LP Qualification</x:v>
      </x:c>
      <x:c r="F138" t="str">
        <x:v>Online</x:v>
      </x:c>
      <x:c r="G138" t="str">
        <x:v>Delaware Processing Team</x:v>
      </x:c>
      <x:c r="H138" t="str">
        <x:v>Completed</x:v>
      </x:c>
      <x:c r="I138" t="n">
        <x:v>6</x:v>
      </x:c>
      <x:c r="J138" t="n">
        <x:v>2</x:v>
      </x:c>
      <x:c r="K138" t="str">
        <x:f>IF(OR(H138="Pending",H138="Processing"),"Open",IF(I138&lt;=J138,"Yes","No"))</x:f>
        <x:v>No</x:v>
      </x:c>
      <x:c r="L138" t="str"/>
      <x:c r="M138" s="12" t="n">
        <x:v>46133</x:v>
      </x:c>
      <x:c r="N138" s="12" t="n">
        <x:v>46139</x:v>
      </x:c>
      <x:c r="O138" t="str">
        <x:v>Yes</x:v>
      </x:c>
      <x:c r="P138" t="str">
        <x:v>High</x:v>
      </x:c>
    </x:row>
    <x:row r="139">
      <x:c r="A139" t="str">
        <x:v>FIL-20260138</x:v>
      </x:c>
      <x:c r="B139" t="str">
        <x:v>Atlantic Services L.L.C.</x:v>
      </x:c>
      <x:c r="C139" t="str">
        <x:v>LLC</x:v>
      </x:c>
      <x:c r="D139" t="str">
        <x:v>Florida</x:v>
      </x:c>
      <x:c r="E139" t="str">
        <x:v>Conversion Filing</x:v>
      </x:c>
      <x:c r="F139" t="str">
        <x:v>OTC</x:v>
      </x:c>
      <x:c r="G139" t="str">
        <x:v>Florida OTC Fulfillment</x:v>
      </x:c>
      <x:c r="H139" t="str">
        <x:v>Completed</x:v>
      </x:c>
      <x:c r="I139" t="n">
        <x:v>4</x:v>
      </x:c>
      <x:c r="J139" t="n">
        <x:v>3</x:v>
      </x:c>
      <x:c r="K139" t="str">
        <x:f>IF(OR(H139="Pending",H139="Processing"),"Open",IF(I139&lt;=J139,"Yes","No"))</x:f>
        <x:v>No</x:v>
      </x:c>
      <x:c r="L139" t="str"/>
      <x:c r="M139" s="12" t="n">
        <x:v>46050</x:v>
      </x:c>
      <x:c r="N139" s="12" t="n">
        <x:v>46054</x:v>
      </x:c>
      <x:c r="O139" t="str">
        <x:v>No</x:v>
      </x:c>
      <x:c r="P139" t="str">
        <x:v>Standard</x:v>
      </x:c>
    </x:row>
    <x:row r="140">
      <x:c r="A140" t="str">
        <x:v>FIL-20260139</x:v>
      </x:c>
      <x:c r="B140" t="str">
        <x:v>BrightPath Consulting Inc.</x:v>
      </x:c>
      <x:c r="C140" t="str">
        <x:v>Profit Corporation</x:v>
      </x:c>
      <x:c r="D140" t="str">
        <x:v>Delaware</x:v>
      </x:c>
      <x:c r="E140" t="str">
        <x:v>Reinstatement</x:v>
      </x:c>
      <x:c r="F140" t="str">
        <x:v>Online</x:v>
      </x:c>
      <x:c r="G140" t="str">
        <x:v>Delaware Processing Team</x:v>
      </x:c>
      <x:c r="H140" t="str">
        <x:v>Completed</x:v>
      </x:c>
      <x:c r="I140" t="n">
        <x:v>3</x:v>
      </x:c>
      <x:c r="J140" t="n">
        <x:v>2</x:v>
      </x:c>
      <x:c r="K140" t="str">
        <x:f>IF(OR(H140="Pending",H140="Processing"),"Open",IF(I140&lt;=J140,"Yes","No"))</x:f>
        <x:v>No</x:v>
      </x:c>
      <x:c r="L140" t="str"/>
      <x:c r="M140" s="12" t="n">
        <x:v>46126</x:v>
      </x:c>
      <x:c r="N140" s="12" t="n">
        <x:v>46129</x:v>
      </x:c>
      <x:c r="O140" t="str">
        <x:v>Yes</x:v>
      </x:c>
      <x:c r="P140" t="str">
        <x:v>Standard</x:v>
      </x:c>
    </x:row>
    <x:row r="141">
      <x:c r="A141" t="str">
        <x:v>FIL-20260140</x:v>
      </x:c>
      <x:c r="B141" t="str">
        <x:v>Horizon Healthcare Inc.</x:v>
      </x:c>
      <x:c r="C141" t="str">
        <x:v>Profit Corporation</x:v>
      </x:c>
      <x:c r="D141" t="str">
        <x:v>Illinois</x:v>
      </x:c>
      <x:c r="E141" t="str">
        <x:v>Corporation Amendment</x:v>
      </x:c>
      <x:c r="F141" t="str">
        <x:v>Mail</x:v>
      </x:c>
      <x:c r="G141" t="str">
        <x:v>Illinois Fulfillment Team</x:v>
      </x:c>
      <x:c r="H141" t="str">
        <x:v>Completed</x:v>
      </x:c>
      <x:c r="I141" t="n">
        <x:v>10</x:v>
      </x:c>
      <x:c r="J141" t="n">
        <x:v>6</x:v>
      </x:c>
      <x:c r="K141" t="str">
        <x:f>IF(OR(H141="Pending",H141="Processing"),"Open",IF(I141&lt;=J141,"Yes","No"))</x:f>
        <x:v>No</x:v>
      </x:c>
      <x:c r="L141" t="str"/>
      <x:c r="M141" s="12" t="n">
        <x:v>46028</x:v>
      </x:c>
      <x:c r="N141" s="12" t="n">
        <x:v>46038</x:v>
      </x:c>
      <x:c r="O141" t="str">
        <x:v>Yes</x:v>
      </x:c>
      <x:c r="P141" t="str">
        <x:v>Standard</x:v>
      </x:c>
    </x:row>
    <x:row r="142">
      <x:c r="A142" t="str">
        <x:v>FIL-20260141</x:v>
      </x:c>
      <x:c r="B142" t="str">
        <x:v>Harbor Studios Inc.</x:v>
      </x:c>
      <x:c r="C142" t="str">
        <x:v>Profit Corporation</x:v>
      </x:c>
      <x:c r="D142" t="str">
        <x:v>North Carolina</x:v>
      </x:c>
      <x:c r="E142" t="str">
        <x:v>Corporation Amendment</x:v>
      </x:c>
      <x:c r="F142" t="str">
        <x:v>Online</x:v>
      </x:c>
      <x:c r="G142" t="str">
        <x:v>North Carolina Processing Team</x:v>
      </x:c>
      <x:c r="H142" t="str">
        <x:v>Completed</x:v>
      </x:c>
      <x:c r="I142" t="n">
        <x:v>8</x:v>
      </x:c>
      <x:c r="J142" t="n">
        <x:v>4</x:v>
      </x:c>
      <x:c r="K142" t="str">
        <x:f>IF(OR(H142="Pending",H142="Processing"),"Open",IF(I142&lt;=J142,"Yes","No"))</x:f>
        <x:v>No</x:v>
      </x:c>
      <x:c r="L142" t="str"/>
      <x:c r="M142" s="12" t="n">
        <x:v>46062</x:v>
      </x:c>
      <x:c r="N142" s="12" t="n">
        <x:v>46070</x:v>
      </x:c>
      <x:c r="O142" t="str">
        <x:v>No</x:v>
      </x:c>
      <x:c r="P142" t="str">
        <x:v>High</x:v>
      </x:c>
    </x:row>
    <x:row r="143">
      <x:c r="A143" t="str">
        <x:v>FIL-20260142</x:v>
      </x:c>
      <x:c r="B143" t="str">
        <x:v>First State Holdings L.P.</x:v>
      </x:c>
      <x:c r="C143" t="str">
        <x:v>LP</x:v>
      </x:c>
      <x:c r="D143" t="str">
        <x:v>Washington D.C.</x:v>
      </x:c>
      <x:c r="E143" t="str">
        <x:v>Limited Partnership Formation</x:v>
      </x:c>
      <x:c r="F143" t="str">
        <x:v>Mail</x:v>
      </x:c>
      <x:c r="G143" t="str">
        <x:v>DC Compliance Team</x:v>
      </x:c>
      <x:c r="H143" t="str">
        <x:v>Completed</x:v>
      </x:c>
      <x:c r="I143" t="n">
        <x:v>7</x:v>
      </x:c>
      <x:c r="J143" t="n">
        <x:v>5</x:v>
      </x:c>
      <x:c r="K143" t="str">
        <x:f>IF(OR(H143="Pending",H143="Processing"),"Open",IF(I143&lt;=J143,"Yes","No"))</x:f>
        <x:v>No</x:v>
      </x:c>
      <x:c r="L143" t="str"/>
      <x:c r="M143" s="12" t="n">
        <x:v>46084</x:v>
      </x:c>
      <x:c r="N143" s="12" t="n">
        <x:v>46091</x:v>
      </x:c>
      <x:c r="O143" t="str">
        <x:v>Yes</x:v>
      </x:c>
      <x:c r="P143" t="str">
        <x:v>Standard</x:v>
      </x:c>
    </x:row>
    <x:row r="144">
      <x:c r="A144" t="str">
        <x:v>FIL-20260143</x:v>
      </x:c>
      <x:c r="B144" t="str">
        <x:v>Liberty Solutions L.L.C.</x:v>
      </x:c>
      <x:c r="C144" t="str">
        <x:v>LLC</x:v>
      </x:c>
      <x:c r="D144" t="str">
        <x:v>North Carolina</x:v>
      </x:c>
      <x:c r="E144" t="str">
        <x:v>LLC Amendment</x:v>
      </x:c>
      <x:c r="F144" t="str">
        <x:v>Online</x:v>
      </x:c>
      <x:c r="G144" t="str">
        <x:v>North Carolina Processing Team</x:v>
      </x:c>
      <x:c r="H144" t="str">
        <x:v>Completed</x:v>
      </x:c>
      <x:c r="I144" t="n">
        <x:v>7</x:v>
      </x:c>
      <x:c r="J144" t="n">
        <x:v>4</x:v>
      </x:c>
      <x:c r="K144" t="str">
        <x:f>IF(OR(H144="Pending",H144="Processing"),"Open",IF(I144&lt;=J144,"Yes","No"))</x:f>
        <x:v>No</x:v>
      </x:c>
      <x:c r="L144" t="str"/>
      <x:c r="M144" s="12" t="n">
        <x:v>46113</x:v>
      </x:c>
      <x:c r="N144" s="12" t="n">
        <x:v>46120</x:v>
      </x:c>
      <x:c r="O144" t="str">
        <x:v>No</x:v>
      </x:c>
      <x:c r="P144" t="str">
        <x:v>Standard</x:v>
      </x:c>
    </x:row>
    <x:row r="145">
      <x:c r="A145" t="str">
        <x:v>FIL-20260144</x:v>
      </x:c>
      <x:c r="B145" t="str">
        <x:v>First State Healthcare Foundation Inc.</x:v>
      </x:c>
      <x:c r="C145" t="str">
        <x:v>Nonprofit Corporation</x:v>
      </x:c>
      <x:c r="D145" t="str">
        <x:v>Illinois</x:v>
      </x:c>
      <x:c r="E145" t="str">
        <x:v>Merger Filing</x:v>
      </x:c>
      <x:c r="F145" t="str">
        <x:v>Online</x:v>
      </x:c>
      <x:c r="G145" t="str">
        <x:v>Illinois Online Fulfillment</x:v>
      </x:c>
      <x:c r="H145" t="str">
        <x:v>Completed</x:v>
      </x:c>
      <x:c r="I145" t="n">
        <x:v>3</x:v>
      </x:c>
      <x:c r="J145" t="n">
        <x:v>3</x:v>
      </x:c>
      <x:c r="K145" t="str">
        <x:f>IF(OR(H145="Pending",H145="Processing"),"Open",IF(I145&lt;=J145,"Yes","No"))</x:f>
        <x:v>Yes</x:v>
      </x:c>
      <x:c r="L145" t="str"/>
      <x:c r="M145" s="12" t="n">
        <x:v>46064</x:v>
      </x:c>
      <x:c r="N145" s="12" t="n">
        <x:v>46067</x:v>
      </x:c>
      <x:c r="O145" t="str">
        <x:v>Yes</x:v>
      </x:c>
      <x:c r="P145" t="str">
        <x:v>Urgent</x:v>
      </x:c>
    </x:row>
    <x:row r="146">
      <x:c r="A146" t="str">
        <x:v>FIL-20260145</x:v>
      </x:c>
      <x:c r="B146" t="str">
        <x:v>Liberty Analytics Corporation</x:v>
      </x:c>
      <x:c r="C146" t="str">
        <x:v>Profit Corporation</x:v>
      </x:c>
      <x:c r="D146" t="str">
        <x:v>Illinois</x:v>
      </x:c>
      <x:c r="E146" t="str">
        <x:v>Corporation Amendment</x:v>
      </x:c>
      <x:c r="F146" t="str">
        <x:v>Expedited</x:v>
      </x:c>
      <x:c r="G146" t="str">
        <x:v>Illinois Fulfillment Team</x:v>
      </x:c>
      <x:c r="H146" t="str">
        <x:v>Pending</x:v>
      </x:c>
      <x:c r="I146" t="n">
        <x:v>2</x:v>
      </x:c>
      <x:c r="J146" t="n">
        <x:v>2</x:v>
      </x:c>
      <x:c r="K146" t="str">
        <x:f>IF(OR(H146="Pending",H146="Processing"),"Open",IF(I146&lt;=J146,"Yes","No"))</x:f>
        <x:v>Open</x:v>
      </x:c>
      <x:c r="L146" t="str"/>
      <x:c r="M146" s="12" t="n">
        <x:v>46089</x:v>
      </x:c>
      <x:c r="N146" s="12"/>
      <x:c r="O146" t="str">
        <x:v>Yes</x:v>
      </x:c>
      <x:c r="P146" t="str">
        <x:v>Standard</x:v>
      </x:c>
    </x:row>
    <x:row r="147">
      <x:c r="A147" t="str">
        <x:v>FIL-20260146</x:v>
      </x:c>
      <x:c r="B147" t="str">
        <x:v>Capital Analytics L.P.</x:v>
      </x:c>
      <x:c r="C147" t="str">
        <x:v>LP</x:v>
      </x:c>
      <x:c r="D147" t="str">
        <x:v>Delaware</x:v>
      </x:c>
      <x:c r="E147" t="str">
        <x:v>Limited Partnership Formation</x:v>
      </x:c>
      <x:c r="F147" t="str">
        <x:v>Mail</x:v>
      </x:c>
      <x:c r="G147" t="str">
        <x:v>Delaware Processing Team</x:v>
      </x:c>
      <x:c r="H147" t="str">
        <x:v>Completed</x:v>
      </x:c>
      <x:c r="I147" t="n">
        <x:v>1</x:v>
      </x:c>
      <x:c r="J147" t="n">
        <x:v>4</x:v>
      </x:c>
      <x:c r="K147" t="str">
        <x:f>IF(OR(H147="Pending",H147="Processing"),"Open",IF(I147&lt;=J147,"Yes","No"))</x:f>
        <x:v>Yes</x:v>
      </x:c>
      <x:c r="L147" t="str"/>
      <x:c r="M147" s="12" t="n">
        <x:v>46075</x:v>
      </x:c>
      <x:c r="N147" s="12" t="n">
        <x:v>46076</x:v>
      </x:c>
      <x:c r="O147" t="str">
        <x:v>Yes</x:v>
      </x:c>
      <x:c r="P147" t="str">
        <x:v>Standard</x:v>
      </x:c>
    </x:row>
    <x:row r="148">
      <x:c r="A148" t="str">
        <x:v>FIL-20260147</x:v>
      </x:c>
      <x:c r="B148" t="str">
        <x:v>Horizon Advisors Corp.</x:v>
      </x:c>
      <x:c r="C148" t="str">
        <x:v>Profit Corporation</x:v>
      </x:c>
      <x:c r="D148" t="str">
        <x:v>Georgia</x:v>
      </x:c>
      <x:c r="E148" t="str">
        <x:v>Profit Corporation Formation</x:v>
      </x:c>
      <x:c r="F148" t="str">
        <x:v>Mail</x:v>
      </x:c>
      <x:c r="G148" t="str">
        <x:v>Southeast Processing Team</x:v>
      </x:c>
      <x:c r="H148" t="str">
        <x:v>Processing</x:v>
      </x:c>
      <x:c r="I148" t="n">
        <x:v>2</x:v>
      </x:c>
      <x:c r="J148" t="n">
        <x:v>6</x:v>
      </x:c>
      <x:c r="K148" t="str">
        <x:f>IF(OR(H148="Pending",H148="Processing"),"Open",IF(I148&lt;=J148,"Yes","No"))</x:f>
        <x:v>Open</x:v>
      </x:c>
      <x:c r="L148" t="str"/>
      <x:c r="M148" s="12" t="n">
        <x:v>46070</x:v>
      </x:c>
      <x:c r="N148" s="12"/>
      <x:c r="O148" t="str">
        <x:v>No</x:v>
      </x:c>
      <x:c r="P148" t="str">
        <x:v>Urgent</x:v>
      </x:c>
    </x:row>
    <x:row r="149">
      <x:c r="A149" t="str">
        <x:v>FIL-20260148</x:v>
      </x:c>
      <x:c r="B149" t="str">
        <x:v>Liberty Solutions L.L.C.</x:v>
      </x:c>
      <x:c r="C149" t="str">
        <x:v>LLC</x:v>
      </x:c>
      <x:c r="D149" t="str">
        <x:v>Florida</x:v>
      </x:c>
      <x:c r="E149" t="str">
        <x:v>LLC Dissolution</x:v>
      </x:c>
      <x:c r="F149" t="str">
        <x:v>Online</x:v>
      </x:c>
      <x:c r="G149" t="str">
        <x:v>Florida Online Fulfillment</x:v>
      </x:c>
      <x:c r="H149" t="str">
        <x:v>Completed</x:v>
      </x:c>
      <x:c r="I149" t="n">
        <x:v>4</x:v>
      </x:c>
      <x:c r="J149" t="n">
        <x:v>3</x:v>
      </x:c>
      <x:c r="K149" t="str">
        <x:f>IF(OR(H149="Pending",H149="Processing"),"Open",IF(I149&lt;=J149,"Yes","No"))</x:f>
        <x:v>No</x:v>
      </x:c>
      <x:c r="L149" t="str"/>
      <x:c r="M149" s="12" t="n">
        <x:v>46097</x:v>
      </x:c>
      <x:c r="N149" s="12" t="n">
        <x:v>46101</x:v>
      </x:c>
      <x:c r="O149" t="str">
        <x:v>No</x:v>
      </x:c>
      <x:c r="P149" t="str">
        <x:v>Standard</x:v>
      </x:c>
    </x:row>
    <x:row r="150">
      <x:c r="A150" t="str">
        <x:v>FIL-20260149</x:v>
      </x:c>
      <x:c r="B150" t="str">
        <x:v>Oakmont Development L.L.C.</x:v>
      </x:c>
      <x:c r="C150" t="str">
        <x:v>LLC</x:v>
      </x:c>
      <x:c r="D150" t="str">
        <x:v>Florida</x:v>
      </x:c>
      <x:c r="E150" t="str">
        <x:v>Merger Filing</x:v>
      </x:c>
      <x:c r="F150" t="str">
        <x:v>Online</x:v>
      </x:c>
      <x:c r="G150" t="str">
        <x:v>Florida Online Fulfillment</x:v>
      </x:c>
      <x:c r="H150" t="str">
        <x:v>Completed</x:v>
      </x:c>
      <x:c r="I150" t="n">
        <x:v>7</x:v>
      </x:c>
      <x:c r="J150" t="n">
        <x:v>3</x:v>
      </x:c>
      <x:c r="K150" t="str">
        <x:f>IF(OR(H150="Pending",H150="Processing"),"Open",IF(I150&lt;=J150,"Yes","No"))</x:f>
        <x:v>No</x:v>
      </x:c>
      <x:c r="L150" t="str"/>
      <x:c r="M150" s="12" t="n">
        <x:v>46117</x:v>
      </x:c>
      <x:c r="N150" s="12" t="n">
        <x:v>46124</x:v>
      </x:c>
      <x:c r="O150" t="str">
        <x:v>No</x:v>
      </x:c>
      <x:c r="P150" t="str">
        <x:v>Standard</x:v>
      </x:c>
    </x:row>
    <x:row r="151">
      <x:c r="A151" t="str">
        <x:v>FIL-20260150</x:v>
      </x:c>
      <x:c r="B151" t="str">
        <x:v>Harbor Studios LP</x:v>
      </x:c>
      <x:c r="C151" t="str">
        <x:v>LP</x:v>
      </x:c>
      <x:c r="D151" t="str">
        <x:v>Washington D.C.</x:v>
      </x:c>
      <x:c r="E151" t="str">
        <x:v>Limited Partnership Formation</x:v>
      </x:c>
      <x:c r="F151" t="str">
        <x:v>Expedited</x:v>
      </x:c>
      <x:c r="G151" t="str">
        <x:v>DC Compliance Team</x:v>
      </x:c>
      <x:c r="H151" t="str">
        <x:v>Completed</x:v>
      </x:c>
      <x:c r="I151" t="n">
        <x:v>1</x:v>
      </x:c>
      <x:c r="J151" t="n">
        <x:v>1</x:v>
      </x:c>
      <x:c r="K151" t="str">
        <x:f>IF(OR(H151="Pending",H151="Processing"),"Open",IF(I151&lt;=J151,"Yes","No"))</x:f>
        <x:v>Yes</x:v>
      </x:c>
      <x:c r="L151" t="str"/>
      <x:c r="M151" s="12" t="n">
        <x:v>46100</x:v>
      </x:c>
      <x:c r="N151" s="12" t="n">
        <x:v>46101</x:v>
      </x:c>
      <x:c r="O151" t="str">
        <x:v>Yes</x:v>
      </x:c>
      <x:c r="P151" t="str">
        <x:v>High</x:v>
      </x:c>
    </x:row>
    <x:row r="152">
      <x:c r="A152" t="str">
        <x:v>FIL-20260151</x:v>
      </x:c>
      <x:c r="B152" t="str">
        <x:v>Sterling Enterprises Inc.</x:v>
      </x:c>
      <x:c r="C152" t="str">
        <x:v>Profit Corporation</x:v>
      </x:c>
      <x:c r="D152" t="str">
        <x:v>North Carolina</x:v>
      </x:c>
      <x:c r="E152" t="str">
        <x:v>Foreign Corporation Qualification</x:v>
      </x:c>
      <x:c r="F152" t="str">
        <x:v>Mail</x:v>
      </x:c>
      <x:c r="G152" t="str">
        <x:v>North Carolina Processing Team</x:v>
      </x:c>
      <x:c r="H152" t="str">
        <x:v>Rejected</x:v>
      </x:c>
      <x:c r="I152" t="n">
        <x:v>10</x:v>
      </x:c>
      <x:c r="J152" t="n">
        <x:v>6</x:v>
      </x:c>
      <x:c r="K152" t="str">
        <x:f>IF(OR(H152="Pending",H152="Processing"),"Open",IF(I152&lt;=J152,"Yes","No"))</x:f>
        <x:v>No</x:v>
      </x:c>
      <x:c r="L152" t="str">
        <x:v>Incorrect Entity Name</x:v>
      </x:c>
      <x:c r="M152" s="12" t="n">
        <x:v>46101</x:v>
      </x:c>
      <x:c r="N152" s="12"/>
      <x:c r="O152" t="str">
        <x:v>No</x:v>
      </x:c>
      <x:c r="P152" t="str">
        <x:v>Standard</x:v>
      </x:c>
    </x:row>
    <x:row r="153">
      <x:c r="A153" t="str">
        <x:v>FIL-20260152</x:v>
      </x:c>
      <x:c r="B153" t="str">
        <x:v>First State Technologies Inc.</x:v>
      </x:c>
      <x:c r="C153" t="str">
        <x:v>Profit Corporation</x:v>
      </x:c>
      <x:c r="D153" t="str">
        <x:v>Georgia</x:v>
      </x:c>
      <x:c r="E153" t="str">
        <x:v>Corporation Dissolution</x:v>
      </x:c>
      <x:c r="F153" t="str">
        <x:v>Online</x:v>
      </x:c>
      <x:c r="G153" t="str">
        <x:v>Southeast Processing Team</x:v>
      </x:c>
      <x:c r="H153" t="str">
        <x:v>Completed</x:v>
      </x:c>
      <x:c r="I153" t="n">
        <x:v>1</x:v>
      </x:c>
      <x:c r="J153" t="n">
        <x:v>4</x:v>
      </x:c>
      <x:c r="K153" t="str">
        <x:f>IF(OR(H153="Pending",H153="Processing"),"Open",IF(I153&lt;=J153,"Yes","No"))</x:f>
        <x:v>Yes</x:v>
      </x:c>
      <x:c r="L153" t="str"/>
      <x:c r="M153" s="12" t="n">
        <x:v>46179</x:v>
      </x:c>
      <x:c r="N153" s="12" t="n">
        <x:v>46180</x:v>
      </x:c>
      <x:c r="O153" t="str">
        <x:v>No</x:v>
      </x:c>
      <x:c r="P153" t="str">
        <x:v>High</x:v>
      </x:c>
    </x:row>
    <x:row r="154">
      <x:c r="A154" t="str">
        <x:v>FIL-20260153</x:v>
      </x:c>
      <x:c r="B154" t="str">
        <x:v>Liberty Properties</x:v>
      </x:c>
      <x:c r="C154" t="str">
        <x:v>Fictitious Name</x:v>
      </x:c>
      <x:c r="D154" t="str">
        <x:v>New York</x:v>
      </x:c>
      <x:c r="E154" t="str">
        <x:v>Fictitious Name Registration</x:v>
      </x:c>
      <x:c r="F154" t="str">
        <x:v>Expedited</x:v>
      </x:c>
      <x:c r="G154" t="str">
        <x:v>Northeast Processing Team</x:v>
      </x:c>
      <x:c r="H154" t="str">
        <x:v>Processing</x:v>
      </x:c>
      <x:c r="I154" t="n">
        <x:v>5</x:v>
      </x:c>
      <x:c r="J154" t="n">
        <x:v>2</x:v>
      </x:c>
      <x:c r="K154" t="str">
        <x:f>IF(OR(H154="Pending",H154="Processing"),"Open",IF(I154&lt;=J154,"Yes","No"))</x:f>
        <x:v>Open</x:v>
      </x:c>
      <x:c r="L154" t="str"/>
      <x:c r="M154" s="12" t="n">
        <x:v>46148</x:v>
      </x:c>
      <x:c r="N154" s="12"/>
      <x:c r="O154" t="str">
        <x:v>Yes</x:v>
      </x:c>
      <x:c r="P154" t="str">
        <x:v>Urgent</x:v>
      </x:c>
    </x:row>
    <x:row r="155">
      <x:c r="A155" t="str">
        <x:v>FIL-20260154</x:v>
      </x:c>
      <x:c r="B155" t="str">
        <x:v>First State Technologies Corp.</x:v>
      </x:c>
      <x:c r="C155" t="str">
        <x:v>Profit Corporation</x:v>
      </x:c>
      <x:c r="D155" t="str">
        <x:v>Georgia</x:v>
      </x:c>
      <x:c r="E155" t="str">
        <x:v>Profit Corporation Formation</x:v>
      </x:c>
      <x:c r="F155" t="str">
        <x:v>Online</x:v>
      </x:c>
      <x:c r="G155" t="str">
        <x:v>Southeast Processing Team</x:v>
      </x:c>
      <x:c r="H155" t="str">
        <x:v>Completed</x:v>
      </x:c>
      <x:c r="I155" t="n">
        <x:v>7</x:v>
      </x:c>
      <x:c r="J155" t="n">
        <x:v>4</x:v>
      </x:c>
      <x:c r="K155" t="str">
        <x:f>IF(OR(H155="Pending",H155="Processing"),"Open",IF(I155&lt;=J155,"Yes","No"))</x:f>
        <x:v>No</x:v>
      </x:c>
      <x:c r="L155" t="str"/>
      <x:c r="M155" s="12" t="n">
        <x:v>46169</x:v>
      </x:c>
      <x:c r="N155" s="12" t="n">
        <x:v>46176</x:v>
      </x:c>
      <x:c r="O155" t="str">
        <x:v>No</x:v>
      </x:c>
      <x:c r="P155" t="str">
        <x:v>Standard</x:v>
      </x:c>
    </x:row>
    <x:row r="156">
      <x:c r="A156" t="str">
        <x:v>FIL-20260155</x:v>
      </x:c>
      <x:c r="B156" t="str">
        <x:v>Horizon Properties LP</x:v>
      </x:c>
      <x:c r="C156" t="str">
        <x:v>LP</x:v>
      </x:c>
      <x:c r="D156" t="str">
        <x:v>Delaware</x:v>
      </x:c>
      <x:c r="E156" t="str">
        <x:v>Limited Partnership Formation</x:v>
      </x:c>
      <x:c r="F156" t="str">
        <x:v>Online</x:v>
      </x:c>
      <x:c r="G156" t="str">
        <x:v>Delaware Processing Team</x:v>
      </x:c>
      <x:c r="H156" t="str">
        <x:v>Completed</x:v>
      </x:c>
      <x:c r="I156" t="n">
        <x:v>4</x:v>
      </x:c>
      <x:c r="J156" t="n">
        <x:v>2</x:v>
      </x:c>
      <x:c r="K156" t="str">
        <x:f>IF(OR(H156="Pending",H156="Processing"),"Open",IF(I156&lt;=J156,"Yes","No"))</x:f>
        <x:v>No</x:v>
      </x:c>
      <x:c r="L156" t="str"/>
      <x:c r="M156" s="12" t="n">
        <x:v>46073</x:v>
      </x:c>
      <x:c r="N156" s="12" t="n">
        <x:v>46077</x:v>
      </x:c>
      <x:c r="O156" t="str">
        <x:v>Yes</x:v>
      </x:c>
      <x:c r="P156" t="str">
        <x:v>Standard</x:v>
      </x:c>
    </x:row>
    <x:row r="157">
      <x:c r="A157" t="str">
        <x:v>FIL-20260156</x:v>
      </x:c>
      <x:c r="B157" t="str">
        <x:v>First State Management Inc.</x:v>
      </x:c>
      <x:c r="C157" t="str">
        <x:v>Profit Corporation</x:v>
      </x:c>
      <x:c r="D157" t="str">
        <x:v>Washington D.C.</x:v>
      </x:c>
      <x:c r="E157" t="str">
        <x:v>Annual Report</x:v>
      </x:c>
      <x:c r="F157" t="str">
        <x:v>Expedited</x:v>
      </x:c>
      <x:c r="G157" t="str">
        <x:v>DC Compliance Team</x:v>
      </x:c>
      <x:c r="H157" t="str">
        <x:v>Completed</x:v>
      </x:c>
      <x:c r="I157" t="n">
        <x:v>1</x:v>
      </x:c>
      <x:c r="J157" t="n">
        <x:v>1</x:v>
      </x:c>
      <x:c r="K157" t="str">
        <x:f>IF(OR(H157="Pending",H157="Processing"),"Open",IF(I157&lt;=J157,"Yes","No"))</x:f>
        <x:v>Yes</x:v>
      </x:c>
      <x:c r="L157" t="str"/>
      <x:c r="M157" s="12" t="n">
        <x:v>46076</x:v>
      </x:c>
      <x:c r="N157" s="12" t="n">
        <x:v>46077</x:v>
      </x:c>
      <x:c r="O157" t="str">
        <x:v>Yes</x:v>
      </x:c>
      <x:c r="P157" t="str">
        <x:v>Standard</x:v>
      </x:c>
    </x:row>
    <x:row r="158">
      <x:c r="A158" t="str">
        <x:v>FIL-20260157</x:v>
      </x:c>
      <x:c r="B158" t="str">
        <x:v>NorthStar Properties Foundation Inc.</x:v>
      </x:c>
      <x:c r="C158" t="str">
        <x:v>Nonprofit Corporation</x:v>
      </x:c>
      <x:c r="D158" t="str">
        <x:v>Florida</x:v>
      </x:c>
      <x:c r="E158" t="str">
        <x:v>Nonprofit Corporation Formation</x:v>
      </x:c>
      <x:c r="F158" t="str">
        <x:v>OTC</x:v>
      </x:c>
      <x:c r="G158" t="str">
        <x:v>Florida OTC Fulfillment</x:v>
      </x:c>
      <x:c r="H158" t="str">
        <x:v>Completed</x:v>
      </x:c>
      <x:c r="I158" t="n">
        <x:v>3</x:v>
      </x:c>
      <x:c r="J158" t="n">
        <x:v>3</x:v>
      </x:c>
      <x:c r="K158" t="str">
        <x:f>IF(OR(H158="Pending",H158="Processing"),"Open",IF(I158&lt;=J158,"Yes","No"))</x:f>
        <x:v>Yes</x:v>
      </x:c>
      <x:c r="L158" t="str"/>
      <x:c r="M158" s="12" t="n">
        <x:v>46181</x:v>
      </x:c>
      <x:c r="N158" s="12" t="n">
        <x:v>46184</x:v>
      </x:c>
      <x:c r="O158" t="str">
        <x:v>No</x:v>
      </x:c>
      <x:c r="P158" t="str">
        <x:v>Standard</x:v>
      </x:c>
    </x:row>
    <x:row r="159">
      <x:c r="A159" t="str">
        <x:v>FIL-20260158</x:v>
      </x:c>
      <x:c r="B159" t="str">
        <x:v>Golden Coast Advisors LLC</x:v>
      </x:c>
      <x:c r="C159" t="str">
        <x:v>LLC</x:v>
      </x:c>
      <x:c r="D159" t="str">
        <x:v>Illinois</x:v>
      </x:c>
      <x:c r="E159" t="str">
        <x:v>Annual Report</x:v>
      </x:c>
      <x:c r="F159" t="str">
        <x:v>Expedited</x:v>
      </x:c>
      <x:c r="G159" t="str">
        <x:v>Illinois Fulfillment Team</x:v>
      </x:c>
      <x:c r="H159" t="str">
        <x:v>Processing</x:v>
      </x:c>
      <x:c r="I159" t="n">
        <x:v>3</x:v>
      </x:c>
      <x:c r="J159" t="n">
        <x:v>2</x:v>
      </x:c>
      <x:c r="K159" t="str">
        <x:f>IF(OR(H159="Pending",H159="Processing"),"Open",IF(I159&lt;=J159,"Yes","No"))</x:f>
        <x:v>Open</x:v>
      </x:c>
      <x:c r="L159" t="str"/>
      <x:c r="M159" s="12" t="n">
        <x:v>46099</x:v>
      </x:c>
      <x:c r="N159" s="12"/>
      <x:c r="O159" t="str">
        <x:v>Yes</x:v>
      </x:c>
      <x:c r="P159" t="str">
        <x:v>High</x:v>
      </x:c>
    </x:row>
    <x:row r="160">
      <x:c r="A160" t="str">
        <x:v>FIL-20260159</x:v>
      </x:c>
      <x:c r="B160" t="str">
        <x:v>Sterling Technologies Association Inc.</x:v>
      </x:c>
      <x:c r="C160" t="str">
        <x:v>Nonprofit Corporation</x:v>
      </x:c>
      <x:c r="D160" t="str">
        <x:v>Texas</x:v>
      </x:c>
      <x:c r="E160" t="str">
        <x:v>Principal Address Update</x:v>
      </x:c>
      <x:c r="F160" t="str">
        <x:v>Online</x:v>
      </x:c>
      <x:c r="G160" t="str">
        <x:v>Texas Filing Operations</x:v>
      </x:c>
      <x:c r="H160" t="str">
        <x:v>Completed</x:v>
      </x:c>
      <x:c r="I160" t="n">
        <x:v>1</x:v>
      </x:c>
      <x:c r="J160" t="n">
        <x:v>4</x:v>
      </x:c>
      <x:c r="K160" t="str">
        <x:f>IF(OR(H160="Pending",H160="Processing"),"Open",IF(I160&lt;=J160,"Yes","No"))</x:f>
        <x:v>Yes</x:v>
      </x:c>
      <x:c r="L160" t="str"/>
      <x:c r="M160" s="12" t="n">
        <x:v>46190</x:v>
      </x:c>
      <x:c r="N160" s="12" t="n">
        <x:v>46191</x:v>
      </x:c>
      <x:c r="O160" t="str">
        <x:v>No</x:v>
      </x:c>
      <x:c r="P160" t="str">
        <x:v>High</x:v>
      </x:c>
    </x:row>
    <x:row r="161">
      <x:c r="A161" t="str">
        <x:v>FIL-20260160</x:v>
      </x:c>
      <x:c r="B161" t="str">
        <x:v>Legacy Analytics Association Inc.</x:v>
      </x:c>
      <x:c r="C161" t="str">
        <x:v>Nonprofit Corporation</x:v>
      </x:c>
      <x:c r="D161" t="str">
        <x:v>Texas</x:v>
      </x:c>
      <x:c r="E161" t="str">
        <x:v>Nonprofit Corporation Formation</x:v>
      </x:c>
      <x:c r="F161" t="str">
        <x:v>Mail</x:v>
      </x:c>
      <x:c r="G161" t="str">
        <x:v>Texas Filing Operations</x:v>
      </x:c>
      <x:c r="H161" t="str">
        <x:v>Completed</x:v>
      </x:c>
      <x:c r="I161" t="n">
        <x:v>9</x:v>
      </x:c>
      <x:c r="J161" t="n">
        <x:v>6</x:v>
      </x:c>
      <x:c r="K161" t="str">
        <x:f>IF(OR(H161="Pending",H161="Processing"),"Open",IF(I161&lt;=J161,"Yes","No"))</x:f>
        <x:v>No</x:v>
      </x:c>
      <x:c r="L161" t="str"/>
      <x:c r="M161" s="12" t="n">
        <x:v>46122</x:v>
      </x:c>
      <x:c r="N161" s="12" t="n">
        <x:v>46131</x:v>
      </x:c>
      <x:c r="O161" t="str">
        <x:v>No</x:v>
      </x:c>
      <x:c r="P161" t="str">
        <x:v>High</x:v>
      </x:c>
    </x:row>
    <x:row r="162">
      <x:c r="A162" t="str">
        <x:v>FIL-20260161</x:v>
      </x:c>
      <x:c r="B162" t="str">
        <x:v>Atlantic Compliance Association Inc.</x:v>
      </x:c>
      <x:c r="C162" t="str">
        <x:v>Nonprofit Corporation</x:v>
      </x:c>
      <x:c r="D162" t="str">
        <x:v>Washington D.C.</x:v>
      </x:c>
      <x:c r="E162" t="str">
        <x:v>Nonprofit Amendment</x:v>
      </x:c>
      <x:c r="F162" t="str">
        <x:v>Expedited</x:v>
      </x:c>
      <x:c r="G162" t="str">
        <x:v>DC Compliance Team</x:v>
      </x:c>
      <x:c r="H162" t="str">
        <x:v>Completed</x:v>
      </x:c>
      <x:c r="I162" t="n">
        <x:v>1</x:v>
      </x:c>
      <x:c r="J162" t="n">
        <x:v>1</x:v>
      </x:c>
      <x:c r="K162" t="str">
        <x:f>IF(OR(H162="Pending",H162="Processing"),"Open",IF(I162&lt;=J162,"Yes","No"))</x:f>
        <x:v>Yes</x:v>
      </x:c>
      <x:c r="L162" t="str"/>
      <x:c r="M162" s="12" t="n">
        <x:v>46183</x:v>
      </x:c>
      <x:c r="N162" s="12" t="n">
        <x:v>46184</x:v>
      </x:c>
      <x:c r="O162" t="str">
        <x:v>Yes</x:v>
      </x:c>
      <x:c r="P162" t="str">
        <x:v>Standard</x:v>
      </x:c>
    </x:row>
    <x:row r="163">
      <x:c r="A163" t="str">
        <x:v>FIL-20260162</x:v>
      </x:c>
      <x:c r="B163" t="str">
        <x:v>BrightPath Group Institute Inc.</x:v>
      </x:c>
      <x:c r="C163" t="str">
        <x:v>Nonprofit Corporation</x:v>
      </x:c>
      <x:c r="D163" t="str">
        <x:v>Delaware</x:v>
      </x:c>
      <x:c r="E163" t="str">
        <x:v>Nonprofit Corporation Formation</x:v>
      </x:c>
      <x:c r="F163" t="str">
        <x:v>Online</x:v>
      </x:c>
      <x:c r="G163" t="str">
        <x:v>Delaware Processing Team</x:v>
      </x:c>
      <x:c r="H163" t="str">
        <x:v>Processing</x:v>
      </x:c>
      <x:c r="I163" t="n">
        <x:v>5</x:v>
      </x:c>
      <x:c r="J163" t="n">
        <x:v>2</x:v>
      </x:c>
      <x:c r="K163" t="str">
        <x:f>IF(OR(H163="Pending",H163="Processing"),"Open",IF(I163&lt;=J163,"Yes","No"))</x:f>
        <x:v>Open</x:v>
      </x:c>
      <x:c r="L163" t="str"/>
      <x:c r="M163" s="12" t="n">
        <x:v>46169</x:v>
      </x:c>
      <x:c r="N163" s="12"/>
      <x:c r="O163" t="str">
        <x:v>Yes</x:v>
      </x:c>
      <x:c r="P163" t="str">
        <x:v>Standard</x:v>
      </x:c>
    </x:row>
    <x:row r="164">
      <x:c r="A164" t="str">
        <x:v>FIL-20260163</x:v>
      </x:c>
      <x:c r="B164" t="str">
        <x:v>First State Solutions Association Inc.</x:v>
      </x:c>
      <x:c r="C164" t="str">
        <x:v>Nonprofit Corporation</x:v>
      </x:c>
      <x:c r="D164" t="str">
        <x:v>Washington D.C.</x:v>
      </x:c>
      <x:c r="E164" t="str">
        <x:v>Nonprofit Amendment</x:v>
      </x:c>
      <x:c r="F164" t="str">
        <x:v>Expedited</x:v>
      </x:c>
      <x:c r="G164" t="str">
        <x:v>DC Compliance Team</x:v>
      </x:c>
      <x:c r="H164" t="str">
        <x:v>Rejected</x:v>
      </x:c>
      <x:c r="I164" t="n">
        <x:v>6</x:v>
      </x:c>
      <x:c r="J164" t="n">
        <x:v>1</x:v>
      </x:c>
      <x:c r="K164" t="str">
        <x:f>IF(OR(H164="Pending",H164="Processing"),"Open",IF(I164&lt;=J164,"Yes","No"))</x:f>
        <x:v>No</x:v>
      </x:c>
      <x:c r="L164" t="str">
        <x:v>Incomplete Qualification Packet</x:v>
      </x:c>
      <x:c r="M164" s="12" t="n">
        <x:v>46053</x:v>
      </x:c>
      <x:c r="N164" s="12"/>
      <x:c r="O164" t="str">
        <x:v>Yes</x:v>
      </x:c>
      <x:c r="P164" t="str">
        <x:v>Standard</x:v>
      </x:c>
    </x:row>
    <x:row r="165">
      <x:c r="A165" t="str">
        <x:v>FIL-20260164</x:v>
      </x:c>
      <x:c r="B165" t="str">
        <x:v>Summit Logistics L.P.</x:v>
      </x:c>
      <x:c r="C165" t="str">
        <x:v>LP</x:v>
      </x:c>
      <x:c r="D165" t="str">
        <x:v>Florida</x:v>
      </x:c>
      <x:c r="E165" t="str">
        <x:v>Foreign Entity Withdrawal</x:v>
      </x:c>
      <x:c r="F165" t="str">
        <x:v>OTC</x:v>
      </x:c>
      <x:c r="G165" t="str">
        <x:v>Florida OTC Fulfillment</x:v>
      </x:c>
      <x:c r="H165" t="str">
        <x:v>Completed</x:v>
      </x:c>
      <x:c r="I165" t="n">
        <x:v>5</x:v>
      </x:c>
      <x:c r="J165" t="n">
        <x:v>3</x:v>
      </x:c>
      <x:c r="K165" t="str">
        <x:f>IF(OR(H165="Pending",H165="Processing"),"Open",IF(I165&lt;=J165,"Yes","No"))</x:f>
        <x:v>No</x:v>
      </x:c>
      <x:c r="L165" t="str"/>
      <x:c r="M165" s="12" t="n">
        <x:v>46199</x:v>
      </x:c>
      <x:c r="N165" s="12" t="n">
        <x:v>46204</x:v>
      </x:c>
      <x:c r="O165" t="str">
        <x:v>No</x:v>
      </x:c>
      <x:c r="P165" t="str">
        <x:v>High</x:v>
      </x:c>
    </x:row>
    <x:row r="166">
      <x:c r="A166" t="str">
        <x:v>FIL-20260165</x:v>
      </x:c>
      <x:c r="B166" t="str">
        <x:v>Golden Coast Analytics L.P.</x:v>
      </x:c>
      <x:c r="C166" t="str">
        <x:v>LP</x:v>
      </x:c>
      <x:c r="D166" t="str">
        <x:v>New York</x:v>
      </x:c>
      <x:c r="E166" t="str">
        <x:v>Foreign LP Qualification</x:v>
      </x:c>
      <x:c r="F166" t="str">
        <x:v>Online</x:v>
      </x:c>
      <x:c r="G166" t="str">
        <x:v>Northeast Processing Team</x:v>
      </x:c>
      <x:c r="H166" t="str">
        <x:v>Completed</x:v>
      </x:c>
      <x:c r="I166" t="n">
        <x:v>7</x:v>
      </x:c>
      <x:c r="J166" t="n">
        <x:v>5</x:v>
      </x:c>
      <x:c r="K166" t="str">
        <x:f>IF(OR(H166="Pending",H166="Processing"),"Open",IF(I166&lt;=J166,"Yes","No"))</x:f>
        <x:v>No</x:v>
      </x:c>
      <x:c r="L166" t="str"/>
      <x:c r="M166" s="12" t="n">
        <x:v>46052</x:v>
      </x:c>
      <x:c r="N166" s="12" t="n">
        <x:v>46059</x:v>
      </x:c>
      <x:c r="O166" t="str">
        <x:v>Yes</x:v>
      </x:c>
      <x:c r="P166" t="str">
        <x:v>Standard</x:v>
      </x:c>
    </x:row>
    <x:row r="167">
      <x:c r="A167" t="str">
        <x:v>FIL-20260166</x:v>
      </x:c>
      <x:c r="B167" t="str">
        <x:v>Pioneer Solutions Corporation</x:v>
      </x:c>
      <x:c r="C167" t="str">
        <x:v>Profit Corporation</x:v>
      </x:c>
      <x:c r="D167" t="str">
        <x:v>Delaware</x:v>
      </x:c>
      <x:c r="E167" t="str">
        <x:v>Corporation Amendment</x:v>
      </x:c>
      <x:c r="F167" t="str">
        <x:v>Online</x:v>
      </x:c>
      <x:c r="G167" t="str">
        <x:v>Delaware Processing Team</x:v>
      </x:c>
      <x:c r="H167" t="str">
        <x:v>Completed</x:v>
      </x:c>
      <x:c r="I167" t="n">
        <x:v>2</x:v>
      </x:c>
      <x:c r="J167" t="n">
        <x:v>2</x:v>
      </x:c>
      <x:c r="K167" t="str">
        <x:f>IF(OR(H167="Pending",H167="Processing"),"Open",IF(I167&lt;=J167,"Yes","No"))</x:f>
        <x:v>Yes</x:v>
      </x:c>
      <x:c r="L167" t="str"/>
      <x:c r="M167" s="12" t="n">
        <x:v>46087</x:v>
      </x:c>
      <x:c r="N167" s="12" t="n">
        <x:v>46089</x:v>
      </x:c>
      <x:c r="O167" t="str">
        <x:v>Yes</x:v>
      </x:c>
      <x:c r="P167" t="str">
        <x:v>High</x:v>
      </x:c>
    </x:row>
    <x:row r="168">
      <x:c r="A168" t="str">
        <x:v>FIL-20260167</x:v>
      </x:c>
      <x:c r="B168" t="str">
        <x:v>First State Properties Association Inc.</x:v>
      </x:c>
      <x:c r="C168" t="str">
        <x:v>Nonprofit Corporation</x:v>
      </x:c>
      <x:c r="D168" t="str">
        <x:v>California</x:v>
      </x:c>
      <x:c r="E168" t="str">
        <x:v>Reinstatement</x:v>
      </x:c>
      <x:c r="F168" t="str">
        <x:v>Online</x:v>
      </x:c>
      <x:c r="G168" t="str">
        <x:v>West Coast Processing Team</x:v>
      </x:c>
      <x:c r="H168" t="str">
        <x:v>Processing</x:v>
      </x:c>
      <x:c r="I168" t="n">
        <x:v>3</x:v>
      </x:c>
      <x:c r="J168" t="n">
        <x:v>5</x:v>
      </x:c>
      <x:c r="K168" t="str">
        <x:f>IF(OR(H168="Pending",H168="Processing"),"Open",IF(I168&lt;=J168,"Yes","No"))</x:f>
        <x:v>Open</x:v>
      </x:c>
      <x:c r="L168" t="str"/>
      <x:c r="M168" s="12" t="n">
        <x:v>46089</x:v>
      </x:c>
      <x:c r="N168" s="12"/>
      <x:c r="O168" t="str">
        <x:v>No</x:v>
      </x:c>
      <x:c r="P168" t="str">
        <x:v>Standard</x:v>
      </x:c>
    </x:row>
    <x:row r="169">
      <x:c r="A169" t="str">
        <x:v>FIL-20260168</x:v>
      </x:c>
      <x:c r="B169" t="str">
        <x:v>Blue Ridge Studios LP</x:v>
      </x:c>
      <x:c r="C169" t="str">
        <x:v>LP</x:v>
      </x:c>
      <x:c r="D169" t="str">
        <x:v>New York</x:v>
      </x:c>
      <x:c r="E169" t="str">
        <x:v>Certificate of Status Request</x:v>
      </x:c>
      <x:c r="F169" t="str">
        <x:v>Online</x:v>
      </x:c>
      <x:c r="G169" t="str">
        <x:v>Northeast Processing Team</x:v>
      </x:c>
      <x:c r="H169" t="str">
        <x:v>Completed</x:v>
      </x:c>
      <x:c r="I169" t="n">
        <x:v>5</x:v>
      </x:c>
      <x:c r="J169" t="n">
        <x:v>5</x:v>
      </x:c>
      <x:c r="K169" t="str">
        <x:f>IF(OR(H169="Pending",H169="Processing"),"Open",IF(I169&lt;=J169,"Yes","No"))</x:f>
        <x:v>Yes</x:v>
      </x:c>
      <x:c r="L169" t="str"/>
      <x:c r="M169" s="12" t="n">
        <x:v>46182</x:v>
      </x:c>
      <x:c r="N169" s="12" t="n">
        <x:v>46187</x:v>
      </x:c>
      <x:c r="O169" t="str">
        <x:v>Yes</x:v>
      </x:c>
      <x:c r="P169" t="str">
        <x:v>High</x:v>
      </x:c>
    </x:row>
    <x:row r="170">
      <x:c r="A170" t="str">
        <x:v>FIL-20260169</x:v>
      </x:c>
      <x:c r="B170" t="str">
        <x:v>Capital Systems Corporation</x:v>
      </x:c>
      <x:c r="C170" t="str">
        <x:v>Profit Corporation</x:v>
      </x:c>
      <x:c r="D170" t="str">
        <x:v>New York</x:v>
      </x:c>
      <x:c r="E170" t="str">
        <x:v>Name Change Amendment</x:v>
      </x:c>
      <x:c r="F170" t="str">
        <x:v>Mail</x:v>
      </x:c>
      <x:c r="G170" t="str">
        <x:v>Northeast Processing Team</x:v>
      </x:c>
      <x:c r="H170" t="str">
        <x:v>Returned</x:v>
      </x:c>
      <x:c r="I170" t="n">
        <x:v>10</x:v>
      </x:c>
      <x:c r="J170" t="n">
        <x:v>6</x:v>
      </x:c>
      <x:c r="K170" t="str">
        <x:f>IF(OR(H170="Pending",H170="Processing"),"Open",IF(I170&lt;=J170,"Yes","No"))</x:f>
        <x:v>No</x:v>
      </x:c>
      <x:c r="L170" t="str">
        <x:v>Incorrect Entity Name</x:v>
      </x:c>
      <x:c r="M170" s="12" t="n">
        <x:v>46133</x:v>
      </x:c>
      <x:c r="N170" s="12"/>
      <x:c r="O170" t="str">
        <x:v>Yes</x:v>
      </x:c>
      <x:c r="P170" t="str">
        <x:v>Urgent</x:v>
      </x:c>
    </x:row>
    <x:row r="171">
      <x:c r="A171" t="str">
        <x:v>FIL-20260170</x:v>
      </x:c>
      <x:c r="B171" t="str">
        <x:v>Sterling Management Corp.</x:v>
      </x:c>
      <x:c r="C171" t="str">
        <x:v>Profit Corporation</x:v>
      </x:c>
      <x:c r="D171" t="str">
        <x:v>North Carolina</x:v>
      </x:c>
      <x:c r="E171" t="str">
        <x:v>Name Change Amendment</x:v>
      </x:c>
      <x:c r="F171" t="str">
        <x:v>Online</x:v>
      </x:c>
      <x:c r="G171" t="str">
        <x:v>North Carolina Processing Team</x:v>
      </x:c>
      <x:c r="H171" t="str">
        <x:v>Processing</x:v>
      </x:c>
      <x:c r="I171" t="n">
        <x:v>1</x:v>
      </x:c>
      <x:c r="J171" t="n">
        <x:v>4</x:v>
      </x:c>
      <x:c r="K171" t="str">
        <x:f>IF(OR(H171="Pending",H171="Processing"),"Open",IF(I171&lt;=J171,"Yes","No"))</x:f>
        <x:v>Open</x:v>
      </x:c>
      <x:c r="L171" t="str"/>
      <x:c r="M171" s="12" t="n">
        <x:v>46200</x:v>
      </x:c>
      <x:c r="N171" s="12"/>
      <x:c r="O171" t="str">
        <x:v>No</x:v>
      </x:c>
      <x:c r="P171" t="str">
        <x:v>Standard</x:v>
      </x:c>
    </x:row>
    <x:row r="172">
      <x:c r="A172" t="str">
        <x:v>FIL-20260171</x:v>
      </x:c>
      <x:c r="B172" t="str">
        <x:v>Liberty Partners LLC</x:v>
      </x:c>
      <x:c r="C172" t="str">
        <x:v>LLC</x:v>
      </x:c>
      <x:c r="D172" t="str">
        <x:v>New York</x:v>
      </x:c>
      <x:c r="E172" t="str">
        <x:v>Foreign LLC Qualification</x:v>
      </x:c>
      <x:c r="F172" t="str">
        <x:v>Expedited</x:v>
      </x:c>
      <x:c r="G172" t="str">
        <x:v>Northeast Processing Team</x:v>
      </x:c>
      <x:c r="H172" t="str">
        <x:v>Completed</x:v>
      </x:c>
      <x:c r="I172" t="n">
        <x:v>2</x:v>
      </x:c>
      <x:c r="J172" t="n">
        <x:v>3</x:v>
      </x:c>
      <x:c r="K172" t="str">
        <x:f>IF(OR(H172="Pending",H172="Processing"),"Open",IF(I172&lt;=J172,"Yes","No"))</x:f>
        <x:v>Yes</x:v>
      </x:c>
      <x:c r="L172" t="str"/>
      <x:c r="M172" s="12" t="n">
        <x:v>46179</x:v>
      </x:c>
      <x:c r="N172" s="12" t="n">
        <x:v>46181</x:v>
      </x:c>
      <x:c r="O172" t="str">
        <x:v>Yes</x:v>
      </x:c>
      <x:c r="P172" t="str">
        <x:v>Standard</x:v>
      </x:c>
    </x:row>
    <x:row r="173">
      <x:c r="A173" t="str">
        <x:v>FIL-20260172</x:v>
      </x:c>
      <x:c r="B173" t="str">
        <x:v>Blue Ridge Consulting Association Inc.</x:v>
      </x:c>
      <x:c r="C173" t="str">
        <x:v>Nonprofit Corporation</x:v>
      </x:c>
      <x:c r="D173" t="str">
        <x:v>Texas</x:v>
      </x:c>
      <x:c r="E173" t="str">
        <x:v>Registered Agent Change</x:v>
      </x:c>
      <x:c r="F173" t="str">
        <x:v>Online</x:v>
      </x:c>
      <x:c r="G173" t="str">
        <x:v>Texas Filing Operations</x:v>
      </x:c>
      <x:c r="H173" t="str">
        <x:v>Processing</x:v>
      </x:c>
      <x:c r="I173" t="n">
        <x:v>7</x:v>
      </x:c>
      <x:c r="J173" t="n">
        <x:v>4</x:v>
      </x:c>
      <x:c r="K173" t="str">
        <x:f>IF(OR(H173="Pending",H173="Processing"),"Open",IF(I173&lt;=J173,"Yes","No"))</x:f>
        <x:v>Open</x:v>
      </x:c>
      <x:c r="L173" t="str"/>
      <x:c r="M173" s="12" t="n">
        <x:v>46165</x:v>
      </x:c>
      <x:c r="N173" s="12"/>
      <x:c r="O173" t="str">
        <x:v>No</x:v>
      </x:c>
      <x:c r="P173" t="str">
        <x:v>Standard</x:v>
      </x:c>
    </x:row>
    <x:row r="174">
      <x:c r="A174" t="str">
        <x:v>FIL-20260173</x:v>
      </x:c>
      <x:c r="B174" t="str">
        <x:v>Metro Group Corporation</x:v>
      </x:c>
      <x:c r="C174" t="str">
        <x:v>Profit Corporation</x:v>
      </x:c>
      <x:c r="D174" t="str">
        <x:v>Illinois</x:v>
      </x:c>
      <x:c r="E174" t="str">
        <x:v>Annual Report</x:v>
      </x:c>
      <x:c r="F174" t="str">
        <x:v>Online</x:v>
      </x:c>
      <x:c r="G174" t="str">
        <x:v>Illinois Online Fulfillment</x:v>
      </x:c>
      <x:c r="H174" t="str">
        <x:v>Pending</x:v>
      </x:c>
      <x:c r="I174" t="n">
        <x:v>2</x:v>
      </x:c>
      <x:c r="J174" t="n">
        <x:v>4</x:v>
      </x:c>
      <x:c r="K174" t="str">
        <x:f>IF(OR(H174="Pending",H174="Processing"),"Open",IF(I174&lt;=J174,"Yes","No"))</x:f>
        <x:v>Open</x:v>
      </x:c>
      <x:c r="L174" t="str"/>
      <x:c r="M174" s="12" t="n">
        <x:v>46198</x:v>
      </x:c>
      <x:c r="N174" s="12"/>
      <x:c r="O174" t="str">
        <x:v>Yes</x:v>
      </x:c>
      <x:c r="P174" t="str">
        <x:v>High</x:v>
      </x:c>
    </x:row>
    <x:row r="175">
      <x:c r="A175" t="str">
        <x:v>FIL-20260174</x:v>
      </x:c>
      <x:c r="B175" t="str">
        <x:v>Atlantic Analytics LLC</x:v>
      </x:c>
      <x:c r="C175" t="str">
        <x:v>LLC</x:v>
      </x:c>
      <x:c r="D175" t="str">
        <x:v>Georgia</x:v>
      </x:c>
      <x:c r="E175" t="str">
        <x:v>Name Change Amendment</x:v>
      </x:c>
      <x:c r="F175" t="str">
        <x:v>Mail</x:v>
      </x:c>
      <x:c r="G175" t="str">
        <x:v>Southeast Processing Team</x:v>
      </x:c>
      <x:c r="H175" t="str">
        <x:v>Completed</x:v>
      </x:c>
      <x:c r="I175" t="n">
        <x:v>3</x:v>
      </x:c>
      <x:c r="J175" t="n">
        <x:v>6</x:v>
      </x:c>
      <x:c r="K175" t="str">
        <x:f>IF(OR(H175="Pending",H175="Processing"),"Open",IF(I175&lt;=J175,"Yes","No"))</x:f>
        <x:v>Yes</x:v>
      </x:c>
      <x:c r="L175" t="str"/>
      <x:c r="M175" s="12" t="n">
        <x:v>46171</x:v>
      </x:c>
      <x:c r="N175" s="12" t="n">
        <x:v>46174</x:v>
      </x:c>
      <x:c r="O175" t="str">
        <x:v>No</x:v>
      </x:c>
      <x:c r="P175" t="str">
        <x:v>Standard</x:v>
      </x:c>
    </x:row>
    <x:row r="176">
      <x:c r="A176" t="str">
        <x:v>FIL-20260175</x:v>
      </x:c>
      <x:c r="B176" t="str">
        <x:v>Metro Analytics Foundation Inc.</x:v>
      </x:c>
      <x:c r="C176" t="str">
        <x:v>Nonprofit Corporation</x:v>
      </x:c>
      <x:c r="D176" t="str">
        <x:v>Illinois</x:v>
      </x:c>
      <x:c r="E176" t="str">
        <x:v>Registered Agent Change</x:v>
      </x:c>
      <x:c r="F176" t="str">
        <x:v>Expedited</x:v>
      </x:c>
      <x:c r="G176" t="str">
        <x:v>Illinois Fulfillment Team</x:v>
      </x:c>
      <x:c r="H176" t="str">
        <x:v>Completed</x:v>
      </x:c>
      <x:c r="I176" t="n">
        <x:v>2</x:v>
      </x:c>
      <x:c r="J176" t="n">
        <x:v>2</x:v>
      </x:c>
      <x:c r="K176" t="str">
        <x:f>IF(OR(H176="Pending",H176="Processing"),"Open",IF(I176&lt;=J176,"Yes","No"))</x:f>
        <x:v>Yes</x:v>
      </x:c>
      <x:c r="L176" t="str"/>
      <x:c r="M176" s="12" t="n">
        <x:v>46167</x:v>
      </x:c>
      <x:c r="N176" s="12" t="n">
        <x:v>46169</x:v>
      </x:c>
      <x:c r="O176" t="str">
        <x:v>Yes</x:v>
      </x:c>
      <x:c r="P176" t="str">
        <x:v>Standard</x:v>
      </x:c>
    </x:row>
    <x:row r="177">
      <x:c r="A177" t="str">
        <x:v>FIL-20260176</x:v>
      </x:c>
      <x:c r="B177" t="str">
        <x:v>Evergreen Development L.L.C.</x:v>
      </x:c>
      <x:c r="C177" t="str">
        <x:v>LLC</x:v>
      </x:c>
      <x:c r="D177" t="str">
        <x:v>North Carolina</x:v>
      </x:c>
      <x:c r="E177" t="str">
        <x:v>LLC Amendment</x:v>
      </x:c>
      <x:c r="F177" t="str">
        <x:v>Mail</x:v>
      </x:c>
      <x:c r="G177" t="str">
        <x:v>North Carolina Processing Team</x:v>
      </x:c>
      <x:c r="H177" t="str">
        <x:v>Completed</x:v>
      </x:c>
      <x:c r="I177" t="n">
        <x:v>8</x:v>
      </x:c>
      <x:c r="J177" t="n">
        <x:v>6</x:v>
      </x:c>
      <x:c r="K177" t="str">
        <x:f>IF(OR(H177="Pending",H177="Processing"),"Open",IF(I177&lt;=J177,"Yes","No"))</x:f>
        <x:v>No</x:v>
      </x:c>
      <x:c r="L177" t="str"/>
      <x:c r="M177" s="12" t="n">
        <x:v>46051</x:v>
      </x:c>
      <x:c r="N177" s="12" t="n">
        <x:v>46059</x:v>
      </x:c>
      <x:c r="O177" t="str">
        <x:v>No</x:v>
      </x:c>
      <x:c r="P177" t="str">
        <x:v>Standard</x:v>
      </x:c>
    </x:row>
    <x:row r="178">
      <x:c r="A178" t="str">
        <x:v>FIL-20260177</x:v>
      </x:c>
      <x:c r="B178" t="str">
        <x:v>Sterling Partners LP</x:v>
      </x:c>
      <x:c r="C178" t="str">
        <x:v>LP</x:v>
      </x:c>
      <x:c r="D178" t="str">
        <x:v>Florida</x:v>
      </x:c>
      <x:c r="E178" t="str">
        <x:v>Foreign LP Qualification</x:v>
      </x:c>
      <x:c r="F178" t="str">
        <x:v>OTC</x:v>
      </x:c>
      <x:c r="G178" t="str">
        <x:v>Florida OTC Fulfillment</x:v>
      </x:c>
      <x:c r="H178" t="str">
        <x:v>Completed</x:v>
      </x:c>
      <x:c r="I178" t="n">
        <x:v>3</x:v>
      </x:c>
      <x:c r="J178" t="n">
        <x:v>3</x:v>
      </x:c>
      <x:c r="K178" t="str">
        <x:f>IF(OR(H178="Pending",H178="Processing"),"Open",IF(I178&lt;=J178,"Yes","No"))</x:f>
        <x:v>Yes</x:v>
      </x:c>
      <x:c r="L178" t="str"/>
      <x:c r="M178" s="12" t="n">
        <x:v>46095</x:v>
      </x:c>
      <x:c r="N178" s="12" t="n">
        <x:v>46098</x:v>
      </x:c>
      <x:c r="O178" t="str">
        <x:v>No</x:v>
      </x:c>
      <x:c r="P178" t="str">
        <x:v>Standard</x:v>
      </x:c>
    </x:row>
    <x:row r="179">
      <x:c r="A179" t="str">
        <x:v>FIL-20260178</x:v>
      </x:c>
      <x:c r="B179" t="str">
        <x:v>BrightPath Studios LLC</x:v>
      </x:c>
      <x:c r="C179" t="str">
        <x:v>LLC</x:v>
      </x:c>
      <x:c r="D179" t="str">
        <x:v>Florida</x:v>
      </x:c>
      <x:c r="E179" t="str">
        <x:v>Annual Report</x:v>
      </x:c>
      <x:c r="F179" t="str">
        <x:v>Online</x:v>
      </x:c>
      <x:c r="G179" t="str">
        <x:v>Florida Online Fulfillment</x:v>
      </x:c>
      <x:c r="H179" t="str">
        <x:v>Completed</x:v>
      </x:c>
      <x:c r="I179" t="n">
        <x:v>7</x:v>
      </x:c>
      <x:c r="J179" t="n">
        <x:v>3</x:v>
      </x:c>
      <x:c r="K179" t="str">
        <x:f>IF(OR(H179="Pending",H179="Processing"),"Open",IF(I179&lt;=J179,"Yes","No"))</x:f>
        <x:v>No</x:v>
      </x:c>
      <x:c r="L179" t="str"/>
      <x:c r="M179" s="12" t="n">
        <x:v>46176</x:v>
      </x:c>
      <x:c r="N179" s="12" t="n">
        <x:v>46183</x:v>
      </x:c>
      <x:c r="O179" t="str">
        <x:v>No</x:v>
      </x:c>
      <x:c r="P179" t="str">
        <x:v>Standard</x:v>
      </x:c>
    </x:row>
    <x:row r="180">
      <x:c r="A180" t="str">
        <x:v>FIL-20260179</x:v>
      </x:c>
      <x:c r="B180" t="str">
        <x:v>First State Partners LLC</x:v>
      </x:c>
      <x:c r="C180" t="str">
        <x:v>LLC</x:v>
      </x:c>
      <x:c r="D180" t="str">
        <x:v>North Carolina</x:v>
      </x:c>
      <x:c r="E180" t="str">
        <x:v>Foreign LLC Qualification</x:v>
      </x:c>
      <x:c r="F180" t="str">
        <x:v>Mail</x:v>
      </x:c>
      <x:c r="G180" t="str">
        <x:v>North Carolina Processing Team</x:v>
      </x:c>
      <x:c r="H180" t="str">
        <x:v>Rejected</x:v>
      </x:c>
      <x:c r="I180" t="n">
        <x:v>7</x:v>
      </x:c>
      <x:c r="J180" t="n">
        <x:v>6</x:v>
      </x:c>
      <x:c r="K180" t="str">
        <x:f>IF(OR(H180="Pending",H180="Processing"),"Open",IF(I180&lt;=J180,"Yes","No"))</x:f>
        <x:v>No</x:v>
      </x:c>
      <x:c r="L180" t="str">
        <x:v>Unsigned Registered Agent Acceptance</x:v>
      </x:c>
      <x:c r="M180" s="12" t="n">
        <x:v>46183</x:v>
      </x:c>
      <x:c r="N180" s="12"/>
      <x:c r="O180" t="str">
        <x:v>No</x:v>
      </x:c>
      <x:c r="P180" t="str">
        <x:v>Standard</x:v>
      </x:c>
    </x:row>
    <x:row r="181">
      <x:c r="A181" t="str">
        <x:v>FIL-20260180</x:v>
      </x:c>
      <x:c r="B181" t="str">
        <x:v>Pioneer Logistics PLLC</x:v>
      </x:c>
      <x:c r="C181" t="str">
        <x:v>PLLC</x:v>
      </x:c>
      <x:c r="D181" t="str">
        <x:v>North Carolina</x:v>
      </x:c>
      <x:c r="E181" t="str">
        <x:v>PLLC Formation</x:v>
      </x:c>
      <x:c r="F181" t="str">
        <x:v>Online</x:v>
      </x:c>
      <x:c r="G181" t="str">
        <x:v>North Carolina Processing Team</x:v>
      </x:c>
      <x:c r="H181" t="str">
        <x:v>Completed</x:v>
      </x:c>
      <x:c r="I181" t="n">
        <x:v>4</x:v>
      </x:c>
      <x:c r="J181" t="n">
        <x:v>4</x:v>
      </x:c>
      <x:c r="K181" t="str">
        <x:f>IF(OR(H181="Pending",H181="Processing"),"Open",IF(I181&lt;=J181,"Yes","No"))</x:f>
        <x:v>Yes</x:v>
      </x:c>
      <x:c r="L181" t="str"/>
      <x:c r="M181" s="12" t="n">
        <x:v>46092</x:v>
      </x:c>
      <x:c r="N181" s="12" t="n">
        <x:v>46096</x:v>
      </x:c>
      <x:c r="O181" t="str">
        <x:v>No</x:v>
      </x:c>
      <x:c r="P181" t="str">
        <x:v>Standard</x:v>
      </x:c>
    </x:row>
    <x:row r="182">
      <x:c r="A182" t="str">
        <x:v>FIL-20260181</x:v>
      </x:c>
      <x:c r="B182" t="str">
        <x:v>Legacy Properties L.L.C.</x:v>
      </x:c>
      <x:c r="C182" t="str">
        <x:v>LLC</x:v>
      </x:c>
      <x:c r="D182" t="str">
        <x:v>North Carolina</x:v>
      </x:c>
      <x:c r="E182" t="str">
        <x:v>LLC Formation</x:v>
      </x:c>
      <x:c r="F182" t="str">
        <x:v>Mail</x:v>
      </x:c>
      <x:c r="G182" t="str">
        <x:v>North Carolina Processing Team</x:v>
      </x:c>
      <x:c r="H182" t="str">
        <x:v>Completed</x:v>
      </x:c>
      <x:c r="I182" t="n">
        <x:v>4</x:v>
      </x:c>
      <x:c r="J182" t="n">
        <x:v>6</x:v>
      </x:c>
      <x:c r="K182" t="str">
        <x:f>IF(OR(H182="Pending",H182="Processing"),"Open",IF(I182&lt;=J182,"Yes","No"))</x:f>
        <x:v>Yes</x:v>
      </x:c>
      <x:c r="L182" t="str"/>
      <x:c r="M182" s="12" t="n">
        <x:v>46144</x:v>
      </x:c>
      <x:c r="N182" s="12" t="n">
        <x:v>46148</x:v>
      </x:c>
      <x:c r="O182" t="str">
        <x:v>No</x:v>
      </x:c>
      <x:c r="P182" t="str">
        <x:v>Standard</x:v>
      </x:c>
    </x:row>
    <x:row r="183">
      <x:c r="A183" t="str">
        <x:v>FIL-20260182</x:v>
      </x:c>
      <x:c r="B183" t="str">
        <x:v>Golden Coast Services P.L.L.C.</x:v>
      </x:c>
      <x:c r="C183" t="str">
        <x:v>PLLC</x:v>
      </x:c>
      <x:c r="D183" t="str">
        <x:v>Maryland</x:v>
      </x:c>
      <x:c r="E183" t="str">
        <x:v>Merger Filing</x:v>
      </x:c>
      <x:c r="F183" t="str">
        <x:v>Mail</x:v>
      </x:c>
      <x:c r="G183" t="str">
        <x:v>Maryland Processing Team</x:v>
      </x:c>
      <x:c r="H183" t="str">
        <x:v>Completed</x:v>
      </x:c>
      <x:c r="I183" t="n">
        <x:v>5</x:v>
      </x:c>
      <x:c r="J183" t="n">
        <x:v>6</x:v>
      </x:c>
      <x:c r="K183" t="str">
        <x:f>IF(OR(H183="Pending",H183="Processing"),"Open",IF(I183&lt;=J183,"Yes","No"))</x:f>
        <x:v>Yes</x:v>
      </x:c>
      <x:c r="L183" t="str"/>
      <x:c r="M183" s="12" t="n">
        <x:v>46083</x:v>
      </x:c>
      <x:c r="N183" s="12" t="n">
        <x:v>46088</x:v>
      </x:c>
      <x:c r="O183" t="str">
        <x:v>No</x:v>
      </x:c>
      <x:c r="P183" t="str">
        <x:v>High</x:v>
      </x:c>
    </x:row>
    <x:row r="184">
      <x:c r="A184" t="str">
        <x:v>FIL-20260183</x:v>
      </x:c>
      <x:c r="B184" t="str">
        <x:v>Metro Development L.L.C.</x:v>
      </x:c>
      <x:c r="C184" t="str">
        <x:v>LLC</x:v>
      </x:c>
      <x:c r="D184" t="str">
        <x:v>Texas</x:v>
      </x:c>
      <x:c r="E184" t="str">
        <x:v>Foreign LLC Qualification</x:v>
      </x:c>
      <x:c r="F184" t="str">
        <x:v>Mail</x:v>
      </x:c>
      <x:c r="G184" t="str">
        <x:v>Texas Filing Operations</x:v>
      </x:c>
      <x:c r="H184" t="str">
        <x:v>Rejected</x:v>
      </x:c>
      <x:c r="I184" t="n">
        <x:v>9</x:v>
      </x:c>
      <x:c r="J184" t="n">
        <x:v>6</x:v>
      </x:c>
      <x:c r="K184" t="str">
        <x:f>IF(OR(H184="Pending",H184="Processing"),"Open",IF(I184&lt;=J184,"Yes","No"))</x:f>
        <x:v>No</x:v>
      </x:c>
      <x:c r="L184" t="str">
        <x:v>Unsigned Registered Agent Acceptance</x:v>
      </x:c>
      <x:c r="M184" s="12" t="n">
        <x:v>46037</x:v>
      </x:c>
      <x:c r="N184" s="12"/>
      <x:c r="O184" t="str">
        <x:v>No</x:v>
      </x:c>
      <x:c r="P184" t="str">
        <x:v>Urgent</x:v>
      </x:c>
    </x:row>
    <x:row r="185">
      <x:c r="A185" t="str">
        <x:v>FIL-20260184</x:v>
      </x:c>
      <x:c r="B185" t="str">
        <x:v>First State Enterprises LLC</x:v>
      </x:c>
      <x:c r="C185" t="str">
        <x:v>LLC</x:v>
      </x:c>
      <x:c r="D185" t="str">
        <x:v>Delaware</x:v>
      </x:c>
      <x:c r="E185" t="str">
        <x:v>Principal Address Update</x:v>
      </x:c>
      <x:c r="F185" t="str">
        <x:v>Mail</x:v>
      </x:c>
      <x:c r="G185" t="str">
        <x:v>Delaware Processing Team</x:v>
      </x:c>
      <x:c r="H185" t="str">
        <x:v>Completed</x:v>
      </x:c>
      <x:c r="I185" t="n">
        <x:v>5</x:v>
      </x:c>
      <x:c r="J185" t="n">
        <x:v>4</x:v>
      </x:c>
      <x:c r="K185" t="str">
        <x:f>IF(OR(H185="Pending",H185="Processing"),"Open",IF(I185&lt;=J185,"Yes","No"))</x:f>
        <x:v>No</x:v>
      </x:c>
      <x:c r="L185" t="str"/>
      <x:c r="M185" s="12" t="n">
        <x:v>46083</x:v>
      </x:c>
      <x:c r="N185" s="12" t="n">
        <x:v>46088</x:v>
      </x:c>
      <x:c r="O185" t="str">
        <x:v>Yes</x:v>
      </x:c>
      <x:c r="P185" t="str">
        <x:v>Standard</x:v>
      </x:c>
    </x:row>
    <x:row r="186">
      <x:c r="A186" t="str">
        <x:v>FIL-20260185</x:v>
      </x:c>
      <x:c r="B186" t="str">
        <x:v>Harbor Healthcare LP</x:v>
      </x:c>
      <x:c r="C186" t="str">
        <x:v>LP</x:v>
      </x:c>
      <x:c r="D186" t="str">
        <x:v>Illinois</x:v>
      </x:c>
      <x:c r="E186" t="str">
        <x:v>Foreign Entity Withdrawal</x:v>
      </x:c>
      <x:c r="F186" t="str">
        <x:v>Expedited</x:v>
      </x:c>
      <x:c r="G186" t="str">
        <x:v>Illinois Fulfillment Team</x:v>
      </x:c>
      <x:c r="H186" t="str">
        <x:v>Completed</x:v>
      </x:c>
      <x:c r="I186" t="n">
        <x:v>1</x:v>
      </x:c>
      <x:c r="J186" t="n">
        <x:v>2</x:v>
      </x:c>
      <x:c r="K186" t="str">
        <x:f>IF(OR(H186="Pending",H186="Processing"),"Open",IF(I186&lt;=J186,"Yes","No"))</x:f>
        <x:v>Yes</x:v>
      </x:c>
      <x:c r="L186" t="str"/>
      <x:c r="M186" s="12" t="n">
        <x:v>46124</x:v>
      </x:c>
      <x:c r="N186" s="12" t="n">
        <x:v>46125</x:v>
      </x:c>
      <x:c r="O186" t="str">
        <x:v>Yes</x:v>
      </x:c>
      <x:c r="P186" t="str">
        <x:v>Standard</x:v>
      </x:c>
    </x:row>
    <x:row r="187">
      <x:c r="A187" t="str">
        <x:v>FIL-20260186</x:v>
      </x:c>
      <x:c r="B187" t="str">
        <x:v>Summit Compliance Corp.</x:v>
      </x:c>
      <x:c r="C187" t="str">
        <x:v>Profit Corporation</x:v>
      </x:c>
      <x:c r="D187" t="str">
        <x:v>Illinois</x:v>
      </x:c>
      <x:c r="E187" t="str">
        <x:v>Corporation Amendment</x:v>
      </x:c>
      <x:c r="F187" t="str">
        <x:v>Expedited</x:v>
      </x:c>
      <x:c r="G187" t="str">
        <x:v>Illinois Fulfillment Team</x:v>
      </x:c>
      <x:c r="H187" t="str">
        <x:v>Pending</x:v>
      </x:c>
      <x:c r="I187" t="n">
        <x:v>5</x:v>
      </x:c>
      <x:c r="J187" t="n">
        <x:v>2</x:v>
      </x:c>
      <x:c r="K187" t="str">
        <x:f>IF(OR(H187="Pending",H187="Processing"),"Open",IF(I187&lt;=J187,"Yes","No"))</x:f>
        <x:v>Open</x:v>
      </x:c>
      <x:c r="L187" t="str"/>
      <x:c r="M187" s="12" t="n">
        <x:v>46198</x:v>
      </x:c>
      <x:c r="N187" s="12"/>
      <x:c r="O187" t="str">
        <x:v>Yes</x:v>
      </x:c>
      <x:c r="P187" t="str">
        <x:v>Standard</x:v>
      </x:c>
    </x:row>
    <x:row r="188">
      <x:c r="A188" t="str">
        <x:v>FIL-20260187</x:v>
      </x:c>
      <x:c r="B188" t="str">
        <x:v>NorthStar Healthcare</x:v>
      </x:c>
      <x:c r="C188" t="str">
        <x:v>Fictitious Name</x:v>
      </x:c>
      <x:c r="D188" t="str">
        <x:v>Maryland</x:v>
      </x:c>
      <x:c r="E188" t="str">
        <x:v>Fictitious Name Registration</x:v>
      </x:c>
      <x:c r="F188" t="str">
        <x:v>Mail</x:v>
      </x:c>
      <x:c r="G188" t="str">
        <x:v>Maryland Processing Team</x:v>
      </x:c>
      <x:c r="H188" t="str">
        <x:v>Completed</x:v>
      </x:c>
      <x:c r="I188" t="n">
        <x:v>6</x:v>
      </x:c>
      <x:c r="J188" t="n">
        <x:v>6</x:v>
      </x:c>
      <x:c r="K188" t="str">
        <x:f>IF(OR(H188="Pending",H188="Processing"),"Open",IF(I188&lt;=J188,"Yes","No"))</x:f>
        <x:v>Yes</x:v>
      </x:c>
      <x:c r="L188" t="str"/>
      <x:c r="M188" s="12" t="n">
        <x:v>46108</x:v>
      </x:c>
      <x:c r="N188" s="12" t="n">
        <x:v>46114</x:v>
      </x:c>
      <x:c r="O188" t="str">
        <x:v>No</x:v>
      </x:c>
      <x:c r="P188" t="str">
        <x:v>High</x:v>
      </x:c>
    </x:row>
    <x:row r="189">
      <x:c r="A189" t="str">
        <x:v>FIL-20260188</x:v>
      </x:c>
      <x:c r="B189" t="str">
        <x:v>Crescent Group LP</x:v>
      </x:c>
      <x:c r="C189" t="str">
        <x:v>LP</x:v>
      </x:c>
      <x:c r="D189" t="str">
        <x:v>North Carolina</x:v>
      </x:c>
      <x:c r="E189" t="str">
        <x:v>Annual Report</x:v>
      </x:c>
      <x:c r="F189" t="str">
        <x:v>Online</x:v>
      </x:c>
      <x:c r="G189" t="str">
        <x:v>North Carolina Processing Team</x:v>
      </x:c>
      <x:c r="H189" t="str">
        <x:v>Processing</x:v>
      </x:c>
      <x:c r="I189" t="n">
        <x:v>0</x:v>
      </x:c>
      <x:c r="J189" t="n">
        <x:v>4</x:v>
      </x:c>
      <x:c r="K189" t="str">
        <x:f>IF(OR(H189="Pending",H189="Processing"),"Open",IF(I189&lt;=J189,"Yes","No"))</x:f>
        <x:v>Open</x:v>
      </x:c>
      <x:c r="L189" t="str"/>
      <x:c r="M189" s="12" t="n">
        <x:v>46069</x:v>
      </x:c>
      <x:c r="N189" s="12"/>
      <x:c r="O189" t="str">
        <x:v>No</x:v>
      </x:c>
      <x:c r="P189" t="str">
        <x:v>Standard</x:v>
      </x:c>
    </x:row>
    <x:row r="190">
      <x:c r="A190" t="str">
        <x:v>FIL-20260189</x:v>
      </x:c>
      <x:c r="B190" t="str">
        <x:v>Liberty Group P.L.L.C.</x:v>
      </x:c>
      <x:c r="C190" t="str">
        <x:v>PLLC</x:v>
      </x:c>
      <x:c r="D190" t="str">
        <x:v>Georgia</x:v>
      </x:c>
      <x:c r="E190" t="str">
        <x:v>Merger Filing</x:v>
      </x:c>
      <x:c r="F190" t="str">
        <x:v>Online</x:v>
      </x:c>
      <x:c r="G190" t="str">
        <x:v>Southeast Processing Team</x:v>
      </x:c>
      <x:c r="H190" t="str">
        <x:v>Rejected</x:v>
      </x:c>
      <x:c r="I190" t="n">
        <x:v>6</x:v>
      </x:c>
      <x:c r="J190" t="n">
        <x:v>4</x:v>
      </x:c>
      <x:c r="K190" t="str">
        <x:f>IF(OR(H190="Pending",H190="Processing"),"Open",IF(I190&lt;=J190,"Yes","No"))</x:f>
        <x:v>No</x:v>
      </x:c>
      <x:c r="L190" t="str">
        <x:v>Missing Cover Letter</x:v>
      </x:c>
      <x:c r="M190" s="12" t="n">
        <x:v>46079</x:v>
      </x:c>
      <x:c r="N190" s="12"/>
      <x:c r="O190" t="str">
        <x:v>No</x:v>
      </x:c>
      <x:c r="P190" t="str">
        <x:v>Standard</x:v>
      </x:c>
    </x:row>
    <x:row r="191">
      <x:c r="A191" t="str">
        <x:v>FIL-20260190</x:v>
      </x:c>
      <x:c r="B191" t="str">
        <x:v>Pioneer Group LLC</x:v>
      </x:c>
      <x:c r="C191" t="str">
        <x:v>LLC</x:v>
      </x:c>
      <x:c r="D191" t="str">
        <x:v>Georgia</x:v>
      </x:c>
      <x:c r="E191" t="str">
        <x:v>LLC Formation</x:v>
      </x:c>
      <x:c r="F191" t="str">
        <x:v>Online</x:v>
      </x:c>
      <x:c r="G191" t="str">
        <x:v>Southeast Processing Team</x:v>
      </x:c>
      <x:c r="H191" t="str">
        <x:v>Completed</x:v>
      </x:c>
      <x:c r="I191" t="n">
        <x:v>4</x:v>
      </x:c>
      <x:c r="J191" t="n">
        <x:v>4</x:v>
      </x:c>
      <x:c r="K191" t="str">
        <x:f>IF(OR(H191="Pending",H191="Processing"),"Open",IF(I191&lt;=J191,"Yes","No"))</x:f>
        <x:v>Yes</x:v>
      </x:c>
      <x:c r="L191" t="str"/>
      <x:c r="M191" s="12" t="n">
        <x:v>46084</x:v>
      </x:c>
      <x:c r="N191" s="12" t="n">
        <x:v>46088</x:v>
      </x:c>
      <x:c r="O191" t="str">
        <x:v>No</x:v>
      </x:c>
      <x:c r="P191" t="str">
        <x:v>Standard</x:v>
      </x:c>
    </x:row>
    <x:row r="192">
      <x:c r="A192" t="str">
        <x:v>FIL-20260191</x:v>
      </x:c>
      <x:c r="B192" t="str">
        <x:v>Evergreen Technologies Corp.</x:v>
      </x:c>
      <x:c r="C192" t="str">
        <x:v>Profit Corporation</x:v>
      </x:c>
      <x:c r="D192" t="str">
        <x:v>California</x:v>
      </x:c>
      <x:c r="E192" t="str">
        <x:v>Foreign Corporation Qualification</x:v>
      </x:c>
      <x:c r="F192" t="str">
        <x:v>Online</x:v>
      </x:c>
      <x:c r="G192" t="str">
        <x:v>West Coast Processing Team</x:v>
      </x:c>
      <x:c r="H192" t="str">
        <x:v>Pending</x:v>
      </x:c>
      <x:c r="I192" t="n">
        <x:v>5</x:v>
      </x:c>
      <x:c r="J192" t="n">
        <x:v>5</x:v>
      </x:c>
      <x:c r="K192" t="str">
        <x:f>IF(OR(H192="Pending",H192="Processing"),"Open",IF(I192&lt;=J192,"Yes","No"))</x:f>
        <x:v>Open</x:v>
      </x:c>
      <x:c r="L192" t="str"/>
      <x:c r="M192" s="12" t="n">
        <x:v>46120</x:v>
      </x:c>
      <x:c r="N192" s="12"/>
      <x:c r="O192" t="str">
        <x:v>No</x:v>
      </x:c>
      <x:c r="P192" t="str">
        <x:v>Standard</x:v>
      </x:c>
    </x:row>
    <x:row r="193">
      <x:c r="A193" t="str">
        <x:v>FIL-20260192</x:v>
      </x:c>
      <x:c r="B193" t="str">
        <x:v>Sunrise Consulting Corporation</x:v>
      </x:c>
      <x:c r="C193" t="str">
        <x:v>Profit Corporation</x:v>
      </x:c>
      <x:c r="D193" t="str">
        <x:v>Florida</x:v>
      </x:c>
      <x:c r="E193" t="str">
        <x:v>Corporation Amendment</x:v>
      </x:c>
      <x:c r="F193" t="str">
        <x:v>Online</x:v>
      </x:c>
      <x:c r="G193" t="str">
        <x:v>Florida Online Fulfillment</x:v>
      </x:c>
      <x:c r="H193" t="str">
        <x:v>Completed</x:v>
      </x:c>
      <x:c r="I193" t="n">
        <x:v>5</x:v>
      </x:c>
      <x:c r="J193" t="n">
        <x:v>3</x:v>
      </x:c>
      <x:c r="K193" t="str">
        <x:f>IF(OR(H193="Pending",H193="Processing"),"Open",IF(I193&lt;=J193,"Yes","No"))</x:f>
        <x:v>No</x:v>
      </x:c>
      <x:c r="L193" t="str"/>
      <x:c r="M193" s="12" t="n">
        <x:v>46112</x:v>
      </x:c>
      <x:c r="N193" s="12" t="n">
        <x:v>46117</x:v>
      </x:c>
      <x:c r="O193" t="str">
        <x:v>No</x:v>
      </x:c>
      <x:c r="P193" t="str">
        <x:v>Standard</x:v>
      </x:c>
    </x:row>
    <x:row r="194">
      <x:c r="A194" t="str">
        <x:v>FIL-20260193</x:v>
      </x:c>
      <x:c r="B194" t="str">
        <x:v>Sunrise Holdings L.L.P.</x:v>
      </x:c>
      <x:c r="C194" t="str">
        <x:v>LLP</x:v>
      </x:c>
      <x:c r="D194" t="str">
        <x:v>North Carolina</x:v>
      </x:c>
      <x:c r="E194" t="str">
        <x:v>Limited Liability Partnership Registration</x:v>
      </x:c>
      <x:c r="F194" t="str">
        <x:v>Online</x:v>
      </x:c>
      <x:c r="G194" t="str">
        <x:v>North Carolina Processing Team</x:v>
      </x:c>
      <x:c r="H194" t="str">
        <x:v>Processing</x:v>
      </x:c>
      <x:c r="I194" t="n">
        <x:v>5</x:v>
      </x:c>
      <x:c r="J194" t="n">
        <x:v>4</x:v>
      </x:c>
      <x:c r="K194" t="str">
        <x:f>IF(OR(H194="Pending",H194="Processing"),"Open",IF(I194&lt;=J194,"Yes","No"))</x:f>
        <x:v>Open</x:v>
      </x:c>
      <x:c r="L194" t="str"/>
      <x:c r="M194" s="12" t="n">
        <x:v>46131</x:v>
      </x:c>
      <x:c r="N194" s="12"/>
      <x:c r="O194" t="str">
        <x:v>No</x:v>
      </x:c>
      <x:c r="P194" t="str">
        <x:v>Standard</x:v>
      </x:c>
    </x:row>
    <x:row r="195">
      <x:c r="A195" t="str">
        <x:v>FIL-20260194</x:v>
      </x:c>
      <x:c r="B195" t="str">
        <x:v>Metro Management Foundation Inc.</x:v>
      </x:c>
      <x:c r="C195" t="str">
        <x:v>Nonprofit Corporation</x:v>
      </x:c>
      <x:c r="D195" t="str">
        <x:v>Florida</x:v>
      </x:c>
      <x:c r="E195" t="str">
        <x:v>Nonprofit Corporation Formation</x:v>
      </x:c>
      <x:c r="F195" t="str">
        <x:v>OTC</x:v>
      </x:c>
      <x:c r="G195" t="str">
        <x:v>Florida OTC Fulfillment</x:v>
      </x:c>
      <x:c r="H195" t="str">
        <x:v>Completed</x:v>
      </x:c>
      <x:c r="I195" t="n">
        <x:v>4</x:v>
      </x:c>
      <x:c r="J195" t="n">
        <x:v>3</x:v>
      </x:c>
      <x:c r="K195" t="str">
        <x:f>IF(OR(H195="Pending",H195="Processing"),"Open",IF(I195&lt;=J195,"Yes","No"))</x:f>
        <x:v>No</x:v>
      </x:c>
      <x:c r="L195" t="str"/>
      <x:c r="M195" s="12" t="n">
        <x:v>46031</x:v>
      </x:c>
      <x:c r="N195" s="12" t="n">
        <x:v>46035</x:v>
      </x:c>
      <x:c r="O195" t="str">
        <x:v>No</x:v>
      </x:c>
      <x:c r="P195" t="str">
        <x:v>Urgent</x:v>
      </x:c>
    </x:row>
    <x:row r="196">
      <x:c r="A196" t="str">
        <x:v>FIL-20260195</x:v>
      </x:c>
      <x:c r="B196" t="str">
        <x:v>Oakmont Management LLP</x:v>
      </x:c>
      <x:c r="C196" t="str">
        <x:v>LLP</x:v>
      </x:c>
      <x:c r="D196" t="str">
        <x:v>New York</x:v>
      </x:c>
      <x:c r="E196" t="str">
        <x:v>Limited Liability Partnership Registration</x:v>
      </x:c>
      <x:c r="F196" t="str">
        <x:v>Expedited</x:v>
      </x:c>
      <x:c r="G196" t="str">
        <x:v>Northeast Processing Team</x:v>
      </x:c>
      <x:c r="H196" t="str">
        <x:v>Completed</x:v>
      </x:c>
      <x:c r="I196" t="n">
        <x:v>5</x:v>
      </x:c>
      <x:c r="J196" t="n">
        <x:v>3</x:v>
      </x:c>
      <x:c r="K196" t="str">
        <x:f>IF(OR(H196="Pending",H196="Processing"),"Open",IF(I196&lt;=J196,"Yes","No"))</x:f>
        <x:v>No</x:v>
      </x:c>
      <x:c r="L196" t="str"/>
      <x:c r="M196" s="12" t="n">
        <x:v>46057</x:v>
      </x:c>
      <x:c r="N196" s="12" t="n">
        <x:v>46062</x:v>
      </x:c>
      <x:c r="O196" t="str">
        <x:v>Yes</x:v>
      </x:c>
      <x:c r="P196" t="str">
        <x:v>Standard</x:v>
      </x:c>
    </x:row>
    <x:row r="197">
      <x:c r="A197" t="str">
        <x:v>FIL-20260196</x:v>
      </x:c>
      <x:c r="B197" t="str">
        <x:v>First State Enterprises Institute Inc.</x:v>
      </x:c>
      <x:c r="C197" t="str">
        <x:v>Nonprofit Corporation</x:v>
      </x:c>
      <x:c r="D197" t="str">
        <x:v>Virginia</x:v>
      </x:c>
      <x:c r="E197" t="str">
        <x:v>Name Change Amendment</x:v>
      </x:c>
      <x:c r="F197" t="str">
        <x:v>Mail</x:v>
      </x:c>
      <x:c r="G197" t="str">
        <x:v>Virginia Processing Team</x:v>
      </x:c>
      <x:c r="H197" t="str">
        <x:v>Completed</x:v>
      </x:c>
      <x:c r="I197" t="n">
        <x:v>10</x:v>
      </x:c>
      <x:c r="J197" t="n">
        <x:v>6</x:v>
      </x:c>
      <x:c r="K197" t="str">
        <x:f>IF(OR(H197="Pending",H197="Processing"),"Open",IF(I197&lt;=J197,"Yes","No"))</x:f>
        <x:v>No</x:v>
      </x:c>
      <x:c r="L197" t="str"/>
      <x:c r="M197" s="12" t="n">
        <x:v>46120</x:v>
      </x:c>
      <x:c r="N197" s="12" t="n">
        <x:v>46130</x:v>
      </x:c>
      <x:c r="O197" t="str">
        <x:v>No</x:v>
      </x:c>
      <x:c r="P197" t="str">
        <x:v>Standard</x:v>
      </x:c>
    </x:row>
    <x:row r="198">
      <x:c r="A198" t="str">
        <x:v>FIL-20260197</x:v>
      </x:c>
      <x:c r="B198" t="str">
        <x:v>Horizon Studios PLLC</x:v>
      </x:c>
      <x:c r="C198" t="str">
        <x:v>PLLC</x:v>
      </x:c>
      <x:c r="D198" t="str">
        <x:v>Washington D.C.</x:v>
      </x:c>
      <x:c r="E198" t="str">
        <x:v>PLLC Formation</x:v>
      </x:c>
      <x:c r="F198" t="str">
        <x:v>Mail</x:v>
      </x:c>
      <x:c r="G198" t="str">
        <x:v>DC Compliance Team</x:v>
      </x:c>
      <x:c r="H198" t="str">
        <x:v>Completed</x:v>
      </x:c>
      <x:c r="I198" t="n">
        <x:v>3</x:v>
      </x:c>
      <x:c r="J198" t="n">
        <x:v>5</x:v>
      </x:c>
      <x:c r="K198" t="str">
        <x:f>IF(OR(H198="Pending",H198="Processing"),"Open",IF(I198&lt;=J198,"Yes","No"))</x:f>
        <x:v>Yes</x:v>
      </x:c>
      <x:c r="L198" t="str"/>
      <x:c r="M198" s="12" t="n">
        <x:v>46173</x:v>
      </x:c>
      <x:c r="N198" s="12" t="n">
        <x:v>46176</x:v>
      </x:c>
      <x:c r="O198" t="str">
        <x:v>Yes</x:v>
      </x:c>
      <x:c r="P198" t="str">
        <x:v>Standard</x:v>
      </x:c>
    </x:row>
    <x:row r="199">
      <x:c r="A199" t="str">
        <x:v>FIL-20260198</x:v>
      </x:c>
      <x:c r="B199" t="str">
        <x:v>Capital Consulting L.L.P.</x:v>
      </x:c>
      <x:c r="C199" t="str">
        <x:v>LLP</x:v>
      </x:c>
      <x:c r="D199" t="str">
        <x:v>Illinois</x:v>
      </x:c>
      <x:c r="E199" t="str">
        <x:v>Certified Copy Request</x:v>
      </x:c>
      <x:c r="F199" t="str">
        <x:v>Online</x:v>
      </x:c>
      <x:c r="G199" t="str">
        <x:v>Illinois Online Fulfillment</x:v>
      </x:c>
      <x:c r="H199" t="str">
        <x:v>Completed</x:v>
      </x:c>
      <x:c r="I199" t="n">
        <x:v>1</x:v>
      </x:c>
      <x:c r="J199" t="n">
        <x:v>4</x:v>
      </x:c>
      <x:c r="K199" t="str">
        <x:f>IF(OR(H199="Pending",H199="Processing"),"Open",IF(I199&lt;=J199,"Yes","No"))</x:f>
        <x:v>Yes</x:v>
      </x:c>
      <x:c r="L199" t="str"/>
      <x:c r="M199" s="12" t="n">
        <x:v>46130</x:v>
      </x:c>
      <x:c r="N199" s="12" t="n">
        <x:v>46131</x:v>
      </x:c>
      <x:c r="O199" t="str">
        <x:v>Yes</x:v>
      </x:c>
      <x:c r="P199" t="str">
        <x:v>Standard</x:v>
      </x:c>
    </x:row>
    <x:row r="200">
      <x:c r="A200" t="str">
        <x:v>FIL-20260199</x:v>
      </x:c>
      <x:c r="B200" t="str">
        <x:v>First State Consulting LLP</x:v>
      </x:c>
      <x:c r="C200" t="str">
        <x:v>LLP</x:v>
      </x:c>
      <x:c r="D200" t="str">
        <x:v>Texas</x:v>
      </x:c>
      <x:c r="E200" t="str">
        <x:v>Registered Agent Change</x:v>
      </x:c>
      <x:c r="F200" t="str">
        <x:v>Mail</x:v>
      </x:c>
      <x:c r="G200" t="str">
        <x:v>Texas Filing Operations</x:v>
      </x:c>
      <x:c r="H200" t="str">
        <x:v>Completed</x:v>
      </x:c>
      <x:c r="I200" t="n">
        <x:v>10</x:v>
      </x:c>
      <x:c r="J200" t="n">
        <x:v>6</x:v>
      </x:c>
      <x:c r="K200" t="str">
        <x:f>IF(OR(H200="Pending",H200="Processing"),"Open",IF(I200&lt;=J200,"Yes","No"))</x:f>
        <x:v>No</x:v>
      </x:c>
      <x:c r="L200" t="str"/>
      <x:c r="M200" s="12" t="n">
        <x:v>46152</x:v>
      </x:c>
      <x:c r="N200" s="12" t="n">
        <x:v>46162</x:v>
      </x:c>
      <x:c r="O200" t="str">
        <x:v>No</x:v>
      </x:c>
      <x:c r="P200" t="str">
        <x:v>Standard</x:v>
      </x:c>
    </x:row>
    <x:row r="201">
      <x:c r="A201" t="str">
        <x:v>FIL-20260200</x:v>
      </x:c>
      <x:c r="B201" t="str">
        <x:v>Sterling Systems Corporation</x:v>
      </x:c>
      <x:c r="C201" t="str">
        <x:v>Profit Corporation</x:v>
      </x:c>
      <x:c r="D201" t="str">
        <x:v>California</x:v>
      </x:c>
      <x:c r="E201" t="str">
        <x:v>Annual Report</x:v>
      </x:c>
      <x:c r="F201" t="str">
        <x:v>Mail</x:v>
      </x:c>
      <x:c r="G201" t="str">
        <x:v>West Coast Processing Team</x:v>
      </x:c>
      <x:c r="H201" t="str">
        <x:v>Completed</x:v>
      </x:c>
      <x:c r="I201" t="n">
        <x:v>7</x:v>
      </x:c>
      <x:c r="J201" t="n">
        <x:v>7</x:v>
      </x:c>
      <x:c r="K201" t="str">
        <x:f>IF(OR(H201="Pending",H201="Processing"),"Open",IF(I201&lt;=J201,"Yes","No"))</x:f>
        <x:v>Yes</x:v>
      </x:c>
      <x:c r="L201" t="str"/>
      <x:c r="M201" s="12" t="n">
        <x:v>46096</x:v>
      </x:c>
      <x:c r="N201" s="12" t="n">
        <x:v>46103</x:v>
      </x:c>
      <x:c r="O201" t="str">
        <x:v>No</x:v>
      </x:c>
      <x:c r="P201" t="str">
        <x:v>Standard</x:v>
      </x:c>
    </x:row>
    <x:row r="202">
      <x:c r="A202" t="str">
        <x:v>FIL-20260201</x:v>
      </x:c>
      <x:c r="B202" t="str">
        <x:v>Oakmont Systems LLC</x:v>
      </x:c>
      <x:c r="C202" t="str">
        <x:v>LLC</x:v>
      </x:c>
      <x:c r="D202" t="str">
        <x:v>Washington D.C.</x:v>
      </x:c>
      <x:c r="E202" t="str">
        <x:v>LLC Formation</x:v>
      </x:c>
      <x:c r="F202" t="str">
        <x:v>Mail</x:v>
      </x:c>
      <x:c r="G202" t="str">
        <x:v>DC Compliance Team</x:v>
      </x:c>
      <x:c r="H202" t="str">
        <x:v>Rejected</x:v>
      </x:c>
      <x:c r="I202" t="n">
        <x:v>6</x:v>
      </x:c>
      <x:c r="J202" t="n">
        <x:v>5</x:v>
      </x:c>
      <x:c r="K202" t="str">
        <x:f>IF(OR(H202="Pending",H202="Processing"),"Open",IF(I202&lt;=J202,"Yes","No"))</x:f>
        <x:v>No</x:v>
      </x:c>
      <x:c r="L202" t="str">
        <x:v>Address Mismatch</x:v>
      </x:c>
      <x:c r="M202" s="12" t="n">
        <x:v>46110</x:v>
      </x:c>
      <x:c r="N202" s="12"/>
      <x:c r="O202" t="str">
        <x:v>Yes</x:v>
      </x:c>
      <x:c r="P202" t="str">
        <x:v>Standard</x:v>
      </x:c>
    </x:row>
    <x:row r="203">
      <x:c r="A203" t="str">
        <x:v>FIL-20260202</x:v>
      </x:c>
      <x:c r="B203" t="str">
        <x:v>First State Analytics L.L.C.</x:v>
      </x:c>
      <x:c r="C203" t="str">
        <x:v>LLC</x:v>
      </x:c>
      <x:c r="D203" t="str">
        <x:v>Delaware</x:v>
      </x:c>
      <x:c r="E203" t="str">
        <x:v>LLC Formation</x:v>
      </x:c>
      <x:c r="F203" t="str">
        <x:v>Online</x:v>
      </x:c>
      <x:c r="G203" t="str">
        <x:v>Delaware Processing Team</x:v>
      </x:c>
      <x:c r="H203" t="str">
        <x:v>Returned</x:v>
      </x:c>
      <x:c r="I203" t="n">
        <x:v>4</x:v>
      </x:c>
      <x:c r="J203" t="n">
        <x:v>2</x:v>
      </x:c>
      <x:c r="K203" t="str">
        <x:f>IF(OR(H203="Pending",H203="Processing"),"Open",IF(I203&lt;=J203,"Yes","No"))</x:f>
        <x:v>No</x:v>
      </x:c>
      <x:c r="L203" t="str">
        <x:v>Missing Signature</x:v>
      </x:c>
      <x:c r="M203" s="12" t="n">
        <x:v>46098</x:v>
      </x:c>
      <x:c r="N203" s="12"/>
      <x:c r="O203" t="str">
        <x:v>Yes</x:v>
      </x:c>
      <x:c r="P203" t="str">
        <x:v>High</x:v>
      </x:c>
    </x:row>
    <x:row r="204">
      <x:c r="A204" t="str">
        <x:v>FIL-20260203</x:v>
      </x:c>
      <x:c r="B204" t="str">
        <x:v>Metro Holdings Corp.</x:v>
      </x:c>
      <x:c r="C204" t="str">
        <x:v>Profit Corporation</x:v>
      </x:c>
      <x:c r="D204" t="str">
        <x:v>North Carolina</x:v>
      </x:c>
      <x:c r="E204" t="str">
        <x:v>Certificate of Status Request</x:v>
      </x:c>
      <x:c r="F204" t="str">
        <x:v>Mail</x:v>
      </x:c>
      <x:c r="G204" t="str">
        <x:v>North Carolina Processing Team</x:v>
      </x:c>
      <x:c r="H204" t="str">
        <x:v>Completed</x:v>
      </x:c>
      <x:c r="I204" t="n">
        <x:v>2</x:v>
      </x:c>
      <x:c r="J204" t="n">
        <x:v>6</x:v>
      </x:c>
      <x:c r="K204" t="str">
        <x:f>IF(OR(H204="Pending",H204="Processing"),"Open",IF(I204&lt;=J204,"Yes","No"))</x:f>
        <x:v>Yes</x:v>
      </x:c>
      <x:c r="L204" t="str"/>
      <x:c r="M204" s="12" t="n">
        <x:v>46177</x:v>
      </x:c>
      <x:c r="N204" s="12" t="n">
        <x:v>46179</x:v>
      </x:c>
      <x:c r="O204" t="str">
        <x:v>No</x:v>
      </x:c>
      <x:c r="P204" t="str">
        <x:v>Standard</x:v>
      </x:c>
    </x:row>
    <x:row r="205">
      <x:c r="A205" t="str">
        <x:v>FIL-20260204</x:v>
      </x:c>
      <x:c r="B205" t="str">
        <x:v>Atlantic Development L.L.C.</x:v>
      </x:c>
      <x:c r="C205" t="str">
        <x:v>LLC</x:v>
      </x:c>
      <x:c r="D205" t="str">
        <x:v>Georgia</x:v>
      </x:c>
      <x:c r="E205" t="str">
        <x:v>Foreign LLC Qualification</x:v>
      </x:c>
      <x:c r="F205" t="str">
        <x:v>Online</x:v>
      </x:c>
      <x:c r="G205" t="str">
        <x:v>Southeast Processing Team</x:v>
      </x:c>
      <x:c r="H205" t="str">
        <x:v>Rejected</x:v>
      </x:c>
      <x:c r="I205" t="n">
        <x:v>6</x:v>
      </x:c>
      <x:c r="J205" t="n">
        <x:v>4</x:v>
      </x:c>
      <x:c r="K205" t="str">
        <x:f>IF(OR(H205="Pending",H205="Processing"),"Open",IF(I205&lt;=J205,"Yes","No"))</x:f>
        <x:v>No</x:v>
      </x:c>
      <x:c r="L205" t="str">
        <x:v>Address Mismatch</x:v>
      </x:c>
      <x:c r="M205" s="12" t="n">
        <x:v>46064</x:v>
      </x:c>
      <x:c r="N205" s="12"/>
      <x:c r="O205" t="str">
        <x:v>No</x:v>
      </x:c>
      <x:c r="P205" t="str">
        <x:v>High</x:v>
      </x:c>
    </x:row>
    <x:row r="206">
      <x:c r="A206" t="str">
        <x:v>FIL-20260205</x:v>
      </x:c>
      <x:c r="B206" t="str">
        <x:v>Horizon Systems LLC</x:v>
      </x:c>
      <x:c r="C206" t="str">
        <x:v>LLC</x:v>
      </x:c>
      <x:c r="D206" t="str">
        <x:v>North Carolina</x:v>
      </x:c>
      <x:c r="E206" t="str">
        <x:v>LLC Dissolution</x:v>
      </x:c>
      <x:c r="F206" t="str">
        <x:v>Mail</x:v>
      </x:c>
      <x:c r="G206" t="str">
        <x:v>North Carolina Processing Team</x:v>
      </x:c>
      <x:c r="H206" t="str">
        <x:v>Returned</x:v>
      </x:c>
      <x:c r="I206" t="n">
        <x:v>8</x:v>
      </x:c>
      <x:c r="J206" t="n">
        <x:v>6</x:v>
      </x:c>
      <x:c r="K206" t="str">
        <x:f>IF(OR(H206="Pending",H206="Processing"),"Open",IF(I206&lt;=J206,"Yes","No"))</x:f>
        <x:v>No</x:v>
      </x:c>
      <x:c r="L206" t="str">
        <x:v>Incorrect Form Version</x:v>
      </x:c>
      <x:c r="M206" s="12" t="n">
        <x:v>46054</x:v>
      </x:c>
      <x:c r="N206" s="12"/>
      <x:c r="O206" t="str">
        <x:v>No</x:v>
      </x:c>
      <x:c r="P206" t="str">
        <x:v>High</x:v>
      </x:c>
    </x:row>
    <x:row r="207">
      <x:c r="A207" t="str">
        <x:v>FIL-20260206</x:v>
      </x:c>
      <x:c r="B207" t="str">
        <x:v>Crescent Development LLC</x:v>
      </x:c>
      <x:c r="C207" t="str">
        <x:v>LLC</x:v>
      </x:c>
      <x:c r="D207" t="str">
        <x:v>Florida</x:v>
      </x:c>
      <x:c r="E207" t="str">
        <x:v>LLC Dissolution</x:v>
      </x:c>
      <x:c r="F207" t="str">
        <x:v>OTC</x:v>
      </x:c>
      <x:c r="G207" t="str">
        <x:v>Florida OTC Fulfillment</x:v>
      </x:c>
      <x:c r="H207" t="str">
        <x:v>Processing</x:v>
      </x:c>
      <x:c r="I207" t="n">
        <x:v>4</x:v>
      </x:c>
      <x:c r="J207" t="n">
        <x:v>3</x:v>
      </x:c>
      <x:c r="K207" t="str">
        <x:f>IF(OR(H207="Pending",H207="Processing"),"Open",IF(I207&lt;=J207,"Yes","No"))</x:f>
        <x:v>Open</x:v>
      </x:c>
      <x:c r="L207" t="str"/>
      <x:c r="M207" s="12" t="n">
        <x:v>46178</x:v>
      </x:c>
      <x:c r="N207" s="12"/>
      <x:c r="O207" t="str">
        <x:v>No</x:v>
      </x:c>
      <x:c r="P207" t="str">
        <x:v>High</x:v>
      </x:c>
    </x:row>
    <x:row r="208">
      <x:c r="A208" t="str">
        <x:v>FIL-20260207</x:v>
      </x:c>
      <x:c r="B208" t="str">
        <x:v>Sunrise Studios Corporation</x:v>
      </x:c>
      <x:c r="C208" t="str">
        <x:v>Profit Corporation</x:v>
      </x:c>
      <x:c r="D208" t="str">
        <x:v>Illinois</x:v>
      </x:c>
      <x:c r="E208" t="str">
        <x:v>Corporation Dissolution</x:v>
      </x:c>
      <x:c r="F208" t="str">
        <x:v>Mail</x:v>
      </x:c>
      <x:c r="G208" t="str">
        <x:v>Illinois Fulfillment Team</x:v>
      </x:c>
      <x:c r="H208" t="str">
        <x:v>Completed</x:v>
      </x:c>
      <x:c r="I208" t="n">
        <x:v>4</x:v>
      </x:c>
      <x:c r="J208" t="n">
        <x:v>6</x:v>
      </x:c>
      <x:c r="K208" t="str">
        <x:f>IF(OR(H208="Pending",H208="Processing"),"Open",IF(I208&lt;=J208,"Yes","No"))</x:f>
        <x:v>Yes</x:v>
      </x:c>
      <x:c r="L208" t="str"/>
      <x:c r="M208" s="12" t="n">
        <x:v>46056</x:v>
      </x:c>
      <x:c r="N208" s="12" t="n">
        <x:v>46060</x:v>
      </x:c>
      <x:c r="O208" t="str">
        <x:v>Yes</x:v>
      </x:c>
      <x:c r="P208" t="str">
        <x:v>Standard</x:v>
      </x:c>
    </x:row>
    <x:row r="209">
      <x:c r="A209" t="str">
        <x:v>FIL-20260208</x:v>
      </x:c>
      <x:c r="B209" t="str">
        <x:v>Blue Ridge Technologies Corporation</x:v>
      </x:c>
      <x:c r="C209" t="str">
        <x:v>Profit Corporation</x:v>
      </x:c>
      <x:c r="D209" t="str">
        <x:v>Florida</x:v>
      </x:c>
      <x:c r="E209" t="str">
        <x:v>Statement of Domestication</x:v>
      </x:c>
      <x:c r="F209" t="str">
        <x:v>Online</x:v>
      </x:c>
      <x:c r="G209" t="str">
        <x:v>Florida Online Fulfillment</x:v>
      </x:c>
      <x:c r="H209" t="str">
        <x:v>Pending</x:v>
      </x:c>
      <x:c r="I209" t="n">
        <x:v>2</x:v>
      </x:c>
      <x:c r="J209" t="n">
        <x:v>3</x:v>
      </x:c>
      <x:c r="K209" t="str">
        <x:f>IF(OR(H209="Pending",H209="Processing"),"Open",IF(I209&lt;=J209,"Yes","No"))</x:f>
        <x:v>Open</x:v>
      </x:c>
      <x:c r="L209" t="str"/>
      <x:c r="M209" s="12" t="n">
        <x:v>46202</x:v>
      </x:c>
      <x:c r="N209" s="12"/>
      <x:c r="O209" t="str">
        <x:v>No</x:v>
      </x:c>
      <x:c r="P209" t="str">
        <x:v>Urgent</x:v>
      </x:c>
    </x:row>
    <x:row r="210">
      <x:c r="A210" t="str">
        <x:v>FIL-20260209</x:v>
      </x:c>
      <x:c r="B210" t="str">
        <x:v>Legacy Consulting Inc.</x:v>
      </x:c>
      <x:c r="C210" t="str">
        <x:v>Profit Corporation</x:v>
      </x:c>
      <x:c r="D210" t="str">
        <x:v>Texas</x:v>
      </x:c>
      <x:c r="E210" t="str">
        <x:v>Profit Corporation Formation</x:v>
      </x:c>
      <x:c r="F210" t="str">
        <x:v>Online</x:v>
      </x:c>
      <x:c r="G210" t="str">
        <x:v>Texas Filing Operations</x:v>
      </x:c>
      <x:c r="H210" t="str">
        <x:v>Pending</x:v>
      </x:c>
      <x:c r="I210" t="n">
        <x:v>5</x:v>
      </x:c>
      <x:c r="J210" t="n">
        <x:v>4</x:v>
      </x:c>
      <x:c r="K210" t="str">
        <x:f>IF(OR(H210="Pending",H210="Processing"),"Open",IF(I210&lt;=J210,"Yes","No"))</x:f>
        <x:v>Open</x:v>
      </x:c>
      <x:c r="L210" t="str"/>
      <x:c r="M210" s="12" t="n">
        <x:v>46168</x:v>
      </x:c>
      <x:c r="N210" s="12"/>
      <x:c r="O210" t="str">
        <x:v>No</x:v>
      </x:c>
      <x:c r="P210" t="str">
        <x:v>Standard</x:v>
      </x:c>
    </x:row>
    <x:row r="211">
      <x:c r="A211" t="str">
        <x:v>FIL-20260210</x:v>
      </x:c>
      <x:c r="B211" t="str">
        <x:v>Blue Ridge Development Inc.</x:v>
      </x:c>
      <x:c r="C211" t="str">
        <x:v>Profit Corporation</x:v>
      </x:c>
      <x:c r="D211" t="str">
        <x:v>New York</x:v>
      </x:c>
      <x:c r="E211" t="str">
        <x:v>Profit Corporation Formation</x:v>
      </x:c>
      <x:c r="F211" t="str">
        <x:v>Expedited</x:v>
      </x:c>
      <x:c r="G211" t="str">
        <x:v>Northeast Processing Team</x:v>
      </x:c>
      <x:c r="H211" t="str">
        <x:v>Processing</x:v>
      </x:c>
      <x:c r="I211" t="n">
        <x:v>3</x:v>
      </x:c>
      <x:c r="J211" t="n">
        <x:v>3</x:v>
      </x:c>
      <x:c r="K211" t="str">
        <x:f>IF(OR(H211="Pending",H211="Processing"),"Open",IF(I211&lt;=J211,"Yes","No"))</x:f>
        <x:v>Open</x:v>
      </x:c>
      <x:c r="L211" t="str"/>
      <x:c r="M211" s="12" t="n">
        <x:v>46097</x:v>
      </x:c>
      <x:c r="N211" s="12"/>
      <x:c r="O211" t="str">
        <x:v>Yes</x:v>
      </x:c>
      <x:c r="P211" t="str">
        <x:v>Standard</x:v>
      </x:c>
    </x:row>
    <x:row r="212">
      <x:c r="A212" t="str">
        <x:v>FIL-20260211</x:v>
      </x:c>
      <x:c r="B212" t="str">
        <x:v>Horizon Analytics Inc.</x:v>
      </x:c>
      <x:c r="C212" t="str">
        <x:v>Profit Corporation</x:v>
      </x:c>
      <x:c r="D212" t="str">
        <x:v>Washington D.C.</x:v>
      </x:c>
      <x:c r="E212" t="str">
        <x:v>Foreign Corporation Qualification</x:v>
      </x:c>
      <x:c r="F212" t="str">
        <x:v>Expedited</x:v>
      </x:c>
      <x:c r="G212" t="str">
        <x:v>DC Compliance Team</x:v>
      </x:c>
      <x:c r="H212" t="str">
        <x:v>Returned</x:v>
      </x:c>
      <x:c r="I212" t="n">
        <x:v>4</x:v>
      </x:c>
      <x:c r="J212" t="n">
        <x:v>1</x:v>
      </x:c>
      <x:c r="K212" t="str">
        <x:f>IF(OR(H212="Pending",H212="Processing"),"Open",IF(I212&lt;=J212,"Yes","No"))</x:f>
        <x:v>No</x:v>
      </x:c>
      <x:c r="L212" t="str">
        <x:v>Address Mismatch</x:v>
      </x:c>
      <x:c r="M212" s="12" t="n">
        <x:v>46084</x:v>
      </x:c>
      <x:c r="N212" s="12"/>
      <x:c r="O212" t="str">
        <x:v>Yes</x:v>
      </x:c>
      <x:c r="P212" t="str">
        <x:v>Standard</x:v>
      </x:c>
    </x:row>
    <x:row r="213">
      <x:c r="A213" t="str">
        <x:v>FIL-20260212</x:v>
      </x:c>
      <x:c r="B213" t="str">
        <x:v>First State Advisors LLC</x:v>
      </x:c>
      <x:c r="C213" t="str">
        <x:v>LLC</x:v>
      </x:c>
      <x:c r="D213" t="str">
        <x:v>Florida</x:v>
      </x:c>
      <x:c r="E213" t="str">
        <x:v>Foreign LLC Qualification</x:v>
      </x:c>
      <x:c r="F213" t="str">
        <x:v>Online</x:v>
      </x:c>
      <x:c r="G213" t="str">
        <x:v>Florida Online Fulfillment</x:v>
      </x:c>
      <x:c r="H213" t="str">
        <x:v>Completed</x:v>
      </x:c>
      <x:c r="I213" t="n">
        <x:v>7</x:v>
      </x:c>
      <x:c r="J213" t="n">
        <x:v>3</x:v>
      </x:c>
      <x:c r="K213" t="str">
        <x:f>IF(OR(H213="Pending",H213="Processing"),"Open",IF(I213&lt;=J213,"Yes","No"))</x:f>
        <x:v>No</x:v>
      </x:c>
      <x:c r="L213" t="str"/>
      <x:c r="M213" s="12" t="n">
        <x:v>46062</x:v>
      </x:c>
      <x:c r="N213" s="12" t="n">
        <x:v>46069</x:v>
      </x:c>
      <x:c r="O213" t="str">
        <x:v>No</x:v>
      </x:c>
      <x:c r="P213" t="str">
        <x:v>High</x:v>
      </x:c>
    </x:row>
    <x:row r="214">
      <x:c r="A214" t="str">
        <x:v>FIL-20260213</x:v>
      </x:c>
      <x:c r="B214" t="str">
        <x:v>Crescent Resources LLC</x:v>
      </x:c>
      <x:c r="C214" t="str">
        <x:v>LLC</x:v>
      </x:c>
      <x:c r="D214" t="str">
        <x:v>Florida</x:v>
      </x:c>
      <x:c r="E214" t="str">
        <x:v>LLC Dissolution</x:v>
      </x:c>
      <x:c r="F214" t="str">
        <x:v>Online</x:v>
      </x:c>
      <x:c r="G214" t="str">
        <x:v>Florida Online Fulfillment</x:v>
      </x:c>
      <x:c r="H214" t="str">
        <x:v>Completed</x:v>
      </x:c>
      <x:c r="I214" t="n">
        <x:v>4</x:v>
      </x:c>
      <x:c r="J214" t="n">
        <x:v>3</x:v>
      </x:c>
      <x:c r="K214" t="str">
        <x:f>IF(OR(H214="Pending",H214="Processing"),"Open",IF(I214&lt;=J214,"Yes","No"))</x:f>
        <x:v>No</x:v>
      </x:c>
      <x:c r="L214" t="str"/>
      <x:c r="M214" s="12" t="n">
        <x:v>46032</x:v>
      </x:c>
      <x:c r="N214" s="12" t="n">
        <x:v>46036</x:v>
      </x:c>
      <x:c r="O214" t="str">
        <x:v>No</x:v>
      </x:c>
      <x:c r="P214" t="str">
        <x:v>Standard</x:v>
      </x:c>
    </x:row>
    <x:row r="215">
      <x:c r="A215" t="str">
        <x:v>FIL-20260214</x:v>
      </x:c>
      <x:c r="B215" t="str">
        <x:v>Atlantic Consulting Inc.</x:v>
      </x:c>
      <x:c r="C215" t="str">
        <x:v>Profit Corporation</x:v>
      </x:c>
      <x:c r="D215" t="str">
        <x:v>California</x:v>
      </x:c>
      <x:c r="E215" t="str">
        <x:v>Profit Corporation Formation</x:v>
      </x:c>
      <x:c r="F215" t="str">
        <x:v>Online</x:v>
      </x:c>
      <x:c r="G215" t="str">
        <x:v>West Coast Processing Team</x:v>
      </x:c>
      <x:c r="H215" t="str">
        <x:v>Completed</x:v>
      </x:c>
      <x:c r="I215" t="n">
        <x:v>6</x:v>
      </x:c>
      <x:c r="J215" t="n">
        <x:v>5</x:v>
      </x:c>
      <x:c r="K215" t="str">
        <x:f>IF(OR(H215="Pending",H215="Processing"),"Open",IF(I215&lt;=J215,"Yes","No"))</x:f>
        <x:v>No</x:v>
      </x:c>
      <x:c r="L215" t="str"/>
      <x:c r="M215" s="12" t="n">
        <x:v>46116</x:v>
      </x:c>
      <x:c r="N215" s="12" t="n">
        <x:v>46122</x:v>
      </x:c>
      <x:c r="O215" t="str">
        <x:v>No</x:v>
      </x:c>
      <x:c r="P215" t="str">
        <x:v>High</x:v>
      </x:c>
    </x:row>
    <x:row r="216">
      <x:c r="A216" t="str">
        <x:v>FIL-20260215</x:v>
      </x:c>
      <x:c r="B216" t="str">
        <x:v>Pioneer Consulting Association Inc.</x:v>
      </x:c>
      <x:c r="C216" t="str">
        <x:v>Nonprofit Corporation</x:v>
      </x:c>
      <x:c r="D216" t="str">
        <x:v>California</x:v>
      </x:c>
      <x:c r="E216" t="str">
        <x:v>Merger Filing</x:v>
      </x:c>
      <x:c r="F216" t="str">
        <x:v>Mail</x:v>
      </x:c>
      <x:c r="G216" t="str">
        <x:v>West Coast Processing Team</x:v>
      </x:c>
      <x:c r="H216" t="str">
        <x:v>Processing</x:v>
      </x:c>
      <x:c r="I216" t="n">
        <x:v>7</x:v>
      </x:c>
      <x:c r="J216" t="n">
        <x:v>7</x:v>
      </x:c>
      <x:c r="K216" t="str">
        <x:f>IF(OR(H216="Pending",H216="Processing"),"Open",IF(I216&lt;=J216,"Yes","No"))</x:f>
        <x:v>Open</x:v>
      </x:c>
      <x:c r="L216" t="str"/>
      <x:c r="M216" s="12" t="n">
        <x:v>46170</x:v>
      </x:c>
      <x:c r="N216" s="12"/>
      <x:c r="O216" t="str">
        <x:v>No</x:v>
      </x:c>
      <x:c r="P216" t="str">
        <x:v>Standard</x:v>
      </x:c>
    </x:row>
    <x:row r="217">
      <x:c r="A217" t="str">
        <x:v>FIL-20260216</x:v>
      </x:c>
      <x:c r="B217" t="str">
        <x:v>Summit Compliance Corp.</x:v>
      </x:c>
      <x:c r="C217" t="str">
        <x:v>Profit Corporation</x:v>
      </x:c>
      <x:c r="D217" t="str">
        <x:v>Florida</x:v>
      </x:c>
      <x:c r="E217" t="str">
        <x:v>Corporation Dissolution</x:v>
      </x:c>
      <x:c r="F217" t="str">
        <x:v>OTC</x:v>
      </x:c>
      <x:c r="G217" t="str">
        <x:v>Florida OTC Fulfillment</x:v>
      </x:c>
      <x:c r="H217" t="str">
        <x:v>Completed</x:v>
      </x:c>
      <x:c r="I217" t="n">
        <x:v>2</x:v>
      </x:c>
      <x:c r="J217" t="n">
        <x:v>3</x:v>
      </x:c>
      <x:c r="K217" t="str">
        <x:f>IF(OR(H217="Pending",H217="Processing"),"Open",IF(I217&lt;=J217,"Yes","No"))</x:f>
        <x:v>Yes</x:v>
      </x:c>
      <x:c r="L217" t="str"/>
      <x:c r="M217" s="12" t="n">
        <x:v>46122</x:v>
      </x:c>
      <x:c r="N217" s="12" t="n">
        <x:v>46124</x:v>
      </x:c>
      <x:c r="O217" t="str">
        <x:v>No</x:v>
      </x:c>
      <x:c r="P217" t="str">
        <x:v>High</x:v>
      </x:c>
    </x:row>
    <x:row r="218">
      <x:c r="A218" t="str">
        <x:v>FIL-20260217</x:v>
      </x:c>
      <x:c r="B218" t="str">
        <x:v>NorthStar Services Corporation</x:v>
      </x:c>
      <x:c r="C218" t="str">
        <x:v>Profit Corporation</x:v>
      </x:c>
      <x:c r="D218" t="str">
        <x:v>Florida</x:v>
      </x:c>
      <x:c r="E218" t="str">
        <x:v>Merger Filing</x:v>
      </x:c>
      <x:c r="F218" t="str">
        <x:v>OTC</x:v>
      </x:c>
      <x:c r="G218" t="str">
        <x:v>Florida OTC Fulfillment</x:v>
      </x:c>
      <x:c r="H218" t="str">
        <x:v>Completed</x:v>
      </x:c>
      <x:c r="I218" t="n">
        <x:v>3</x:v>
      </x:c>
      <x:c r="J218" t="n">
        <x:v>3</x:v>
      </x:c>
      <x:c r="K218" t="str">
        <x:f>IF(OR(H218="Pending",H218="Processing"),"Open",IF(I218&lt;=J218,"Yes","No"))</x:f>
        <x:v>Yes</x:v>
      </x:c>
      <x:c r="L218" t="str"/>
      <x:c r="M218" s="12" t="n">
        <x:v>46088</x:v>
      </x:c>
      <x:c r="N218" s="12" t="n">
        <x:v>46091</x:v>
      </x:c>
      <x:c r="O218" t="str">
        <x:v>No</x:v>
      </x:c>
      <x:c r="P218" t="str">
        <x:v>Standard</x:v>
      </x:c>
    </x:row>
    <x:row r="219">
      <x:c r="A219" t="str">
        <x:v>FIL-20260218</x:v>
      </x:c>
      <x:c r="B219" t="str">
        <x:v>Sunrise Technologies Corp.</x:v>
      </x:c>
      <x:c r="C219" t="str">
        <x:v>Profit Corporation</x:v>
      </x:c>
      <x:c r="D219" t="str">
        <x:v>Florida</x:v>
      </x:c>
      <x:c r="E219" t="str">
        <x:v>Profit Corporation Formation</x:v>
      </x:c>
      <x:c r="F219" t="str">
        <x:v>OTC</x:v>
      </x:c>
      <x:c r="G219" t="str">
        <x:v>Florida OTC Fulfillment</x:v>
      </x:c>
      <x:c r="H219" t="str">
        <x:v>Completed</x:v>
      </x:c>
      <x:c r="I219" t="n">
        <x:v>4</x:v>
      </x:c>
      <x:c r="J219" t="n">
        <x:v>3</x:v>
      </x:c>
      <x:c r="K219" t="str">
        <x:f>IF(OR(H219="Pending",H219="Processing"),"Open",IF(I219&lt;=J219,"Yes","No"))</x:f>
        <x:v>No</x:v>
      </x:c>
      <x:c r="L219" t="str"/>
      <x:c r="M219" s="12" t="n">
        <x:v>46054</x:v>
      </x:c>
      <x:c r="N219" s="12" t="n">
        <x:v>46058</x:v>
      </x:c>
      <x:c r="O219" t="str">
        <x:v>No</x:v>
      </x:c>
      <x:c r="P219" t="str">
        <x:v>Standard</x:v>
      </x:c>
    </x:row>
    <x:row r="220">
      <x:c r="A220" t="str">
        <x:v>FIL-20260219</x:v>
      </x:c>
      <x:c r="B220" t="str">
        <x:v>Crescent Ventures L.L.P.</x:v>
      </x:c>
      <x:c r="C220" t="str">
        <x:v>LLP</x:v>
      </x:c>
      <x:c r="D220" t="str">
        <x:v>Washington D.C.</x:v>
      </x:c>
      <x:c r="E220" t="str">
        <x:v>Certificate of Status Request</x:v>
      </x:c>
      <x:c r="F220" t="str">
        <x:v>Expedited</x:v>
      </x:c>
      <x:c r="G220" t="str">
        <x:v>DC Compliance Team</x:v>
      </x:c>
      <x:c r="H220" t="str">
        <x:v>Rejected</x:v>
      </x:c>
      <x:c r="I220" t="n">
        <x:v>2</x:v>
      </x:c>
      <x:c r="J220" t="n">
        <x:v>1</x:v>
      </x:c>
      <x:c r="K220" t="str">
        <x:f>IF(OR(H220="Pending",H220="Processing"),"Open",IF(I220&lt;=J220,"Yes","No"))</x:f>
        <x:v>No</x:v>
      </x:c>
      <x:c r="L220" t="str">
        <x:v>Filing Fee Error</x:v>
      </x:c>
      <x:c r="M220" s="12" t="n">
        <x:v>46189</x:v>
      </x:c>
      <x:c r="N220" s="12"/>
      <x:c r="O220" t="str">
        <x:v>Yes</x:v>
      </x:c>
      <x:c r="P220" t="str">
        <x:v>High</x:v>
      </x:c>
    </x:row>
    <x:row r="221">
      <x:c r="A221" t="str">
        <x:v>FIL-20260220</x:v>
      </x:c>
      <x:c r="B221" t="str">
        <x:v>Metro Services Corp.</x:v>
      </x:c>
      <x:c r="C221" t="str">
        <x:v>Profit Corporation</x:v>
      </x:c>
      <x:c r="D221" t="str">
        <x:v>Maryland</x:v>
      </x:c>
      <x:c r="E221" t="str">
        <x:v>Conversion Filing</x:v>
      </x:c>
      <x:c r="F221" t="str">
        <x:v>Online</x:v>
      </x:c>
      <x:c r="G221" t="str">
        <x:v>Maryland Processing Team</x:v>
      </x:c>
      <x:c r="H221" t="str">
        <x:v>Completed</x:v>
      </x:c>
      <x:c r="I221" t="n">
        <x:v>6</x:v>
      </x:c>
      <x:c r="J221" t="n">
        <x:v>4</x:v>
      </x:c>
      <x:c r="K221" t="str">
        <x:f>IF(OR(H221="Pending",H221="Processing"),"Open",IF(I221&lt;=J221,"Yes","No"))</x:f>
        <x:v>No</x:v>
      </x:c>
      <x:c r="L221" t="str"/>
      <x:c r="M221" s="12" t="n">
        <x:v>46198</x:v>
      </x:c>
      <x:c r="N221" s="12" t="n">
        <x:v>46204</x:v>
      </x:c>
      <x:c r="O221" t="str">
        <x:v>No</x:v>
      </x:c>
      <x:c r="P221" t="str">
        <x:v>Standard</x:v>
      </x:c>
    </x:row>
    <x:row r="222">
      <x:c r="A222" t="str">
        <x:v>FIL-20260221</x:v>
      </x:c>
      <x:c r="B222" t="str">
        <x:v>Liberty Technologies Inc.</x:v>
      </x:c>
      <x:c r="C222" t="str">
        <x:v>Profit Corporation</x:v>
      </x:c>
      <x:c r="D222" t="str">
        <x:v>North Carolina</x:v>
      </x:c>
      <x:c r="E222" t="str">
        <x:v>Corporation Amendment</x:v>
      </x:c>
      <x:c r="F222" t="str">
        <x:v>Online</x:v>
      </x:c>
      <x:c r="G222" t="str">
        <x:v>North Carolina Processing Team</x:v>
      </x:c>
      <x:c r="H222" t="str">
        <x:v>Completed</x:v>
      </x:c>
      <x:c r="I222" t="n">
        <x:v>4</x:v>
      </x:c>
      <x:c r="J222" t="n">
        <x:v>4</x:v>
      </x:c>
      <x:c r="K222" t="str">
        <x:f>IF(OR(H222="Pending",H222="Processing"),"Open",IF(I222&lt;=J222,"Yes","No"))</x:f>
        <x:v>Yes</x:v>
      </x:c>
      <x:c r="L222" t="str"/>
      <x:c r="M222" s="12" t="n">
        <x:v>46072</x:v>
      </x:c>
      <x:c r="N222" s="12" t="n">
        <x:v>46076</x:v>
      </x:c>
      <x:c r="O222" t="str">
        <x:v>No</x:v>
      </x:c>
      <x:c r="P222" t="str">
        <x:v>High</x:v>
      </x:c>
    </x:row>
    <x:row r="223">
      <x:c r="A223" t="str">
        <x:v>FIL-20260222</x:v>
      </x:c>
      <x:c r="B223" t="str">
        <x:v>Harbor Enterprises LLC</x:v>
      </x:c>
      <x:c r="C223" t="str">
        <x:v>LLC</x:v>
      </x:c>
      <x:c r="D223" t="str">
        <x:v>Florida</x:v>
      </x:c>
      <x:c r="E223" t="str">
        <x:v>LLC Amendment</x:v>
      </x:c>
      <x:c r="F223" t="str">
        <x:v>OTC</x:v>
      </x:c>
      <x:c r="G223" t="str">
        <x:v>Florida OTC Fulfillment</x:v>
      </x:c>
      <x:c r="H223" t="str">
        <x:v>Completed</x:v>
      </x:c>
      <x:c r="I223" t="n">
        <x:v>6</x:v>
      </x:c>
      <x:c r="J223" t="n">
        <x:v>3</x:v>
      </x:c>
      <x:c r="K223" t="str">
        <x:f>IF(OR(H223="Pending",H223="Processing"),"Open",IF(I223&lt;=J223,"Yes","No"))</x:f>
        <x:v>No</x:v>
      </x:c>
      <x:c r="L223" t="str"/>
      <x:c r="M223" s="12" t="n">
        <x:v>46086</x:v>
      </x:c>
      <x:c r="N223" s="12" t="n">
        <x:v>46092</x:v>
      </x:c>
      <x:c r="O223" t="str">
        <x:v>No</x:v>
      </x:c>
      <x:c r="P223" t="str">
        <x:v>Standard</x:v>
      </x:c>
    </x:row>
    <x:row r="224">
      <x:c r="A224" t="str">
        <x:v>FIL-20260223</x:v>
      </x:c>
      <x:c r="B224" t="str">
        <x:v>Sunrise Compliance L.L.C.</x:v>
      </x:c>
      <x:c r="C224" t="str">
        <x:v>LLC</x:v>
      </x:c>
      <x:c r="D224" t="str">
        <x:v>California</x:v>
      </x:c>
      <x:c r="E224" t="str">
        <x:v>LLC Amendment</x:v>
      </x:c>
      <x:c r="F224" t="str">
        <x:v>Mail</x:v>
      </x:c>
      <x:c r="G224" t="str">
        <x:v>West Coast Processing Team</x:v>
      </x:c>
      <x:c r="H224" t="str">
        <x:v>Completed</x:v>
      </x:c>
      <x:c r="I224" t="n">
        <x:v>3</x:v>
      </x:c>
      <x:c r="J224" t="n">
        <x:v>7</x:v>
      </x:c>
      <x:c r="K224" t="str">
        <x:f>IF(OR(H224="Pending",H224="Processing"),"Open",IF(I224&lt;=J224,"Yes","No"))</x:f>
        <x:v>Yes</x:v>
      </x:c>
      <x:c r="L224" t="str"/>
      <x:c r="M224" s="12" t="n">
        <x:v>46027</x:v>
      </x:c>
      <x:c r="N224" s="12" t="n">
        <x:v>46030</x:v>
      </x:c>
      <x:c r="O224" t="str">
        <x:v>No</x:v>
      </x:c>
      <x:c r="P224" t="str">
        <x:v>Standard</x:v>
      </x:c>
    </x:row>
    <x:row r="225">
      <x:c r="A225" t="str">
        <x:v>FIL-20260224</x:v>
      </x:c>
      <x:c r="B225" t="str">
        <x:v>Liberty Enterprises LP</x:v>
      </x:c>
      <x:c r="C225" t="str">
        <x:v>LP</x:v>
      </x:c>
      <x:c r="D225" t="str">
        <x:v>Florida</x:v>
      </x:c>
      <x:c r="E225" t="str">
        <x:v>Foreign LP Qualification</x:v>
      </x:c>
      <x:c r="F225" t="str">
        <x:v>OTC</x:v>
      </x:c>
      <x:c r="G225" t="str">
        <x:v>Florida OTC Fulfillment</x:v>
      </x:c>
      <x:c r="H225" t="str">
        <x:v>Completed</x:v>
      </x:c>
      <x:c r="I225" t="n">
        <x:v>4</x:v>
      </x:c>
      <x:c r="J225" t="n">
        <x:v>3</x:v>
      </x:c>
      <x:c r="K225" t="str">
        <x:f>IF(OR(H225="Pending",H225="Processing"),"Open",IF(I225&lt;=J225,"Yes","No"))</x:f>
        <x:v>No</x:v>
      </x:c>
      <x:c r="L225" t="str"/>
      <x:c r="M225" s="12" t="n">
        <x:v>46089</x:v>
      </x:c>
      <x:c r="N225" s="12" t="n">
        <x:v>46093</x:v>
      </x:c>
      <x:c r="O225" t="str">
        <x:v>No</x:v>
      </x:c>
      <x:c r="P225" t="str">
        <x:v>Standard</x:v>
      </x:c>
    </x:row>
    <x:row r="226">
      <x:c r="A226" t="str">
        <x:v>FIL-20260225</x:v>
      </x:c>
      <x:c r="B226" t="str">
        <x:v>First State Development LLC</x:v>
      </x:c>
      <x:c r="C226" t="str">
        <x:v>LLC</x:v>
      </x:c>
      <x:c r="D226" t="str">
        <x:v>Maryland</x:v>
      </x:c>
      <x:c r="E226" t="str">
        <x:v>Name Change Amendment</x:v>
      </x:c>
      <x:c r="F226" t="str">
        <x:v>Online</x:v>
      </x:c>
      <x:c r="G226" t="str">
        <x:v>Maryland Processing Team</x:v>
      </x:c>
      <x:c r="H226" t="str">
        <x:v>Completed</x:v>
      </x:c>
      <x:c r="I226" t="n">
        <x:v>8</x:v>
      </x:c>
      <x:c r="J226" t="n">
        <x:v>4</x:v>
      </x:c>
      <x:c r="K226" t="str">
        <x:f>IF(OR(H226="Pending",H226="Processing"),"Open",IF(I226&lt;=J226,"Yes","No"))</x:f>
        <x:v>No</x:v>
      </x:c>
      <x:c r="L226" t="str"/>
      <x:c r="M226" s="12" t="n">
        <x:v>46197</x:v>
      </x:c>
      <x:c r="N226" s="12" t="n">
        <x:v>46205</x:v>
      </x:c>
      <x:c r="O226" t="str">
        <x:v>No</x:v>
      </x:c>
      <x:c r="P226" t="str">
        <x:v>Standard</x:v>
      </x:c>
    </x:row>
    <x:row r="227">
      <x:c r="A227" t="str">
        <x:v>FIL-20260226</x:v>
      </x:c>
      <x:c r="B227" t="str">
        <x:v>Blue Ridge Resources L.L.C.</x:v>
      </x:c>
      <x:c r="C227" t="str">
        <x:v>LLC</x:v>
      </x:c>
      <x:c r="D227" t="str">
        <x:v>Texas</x:v>
      </x:c>
      <x:c r="E227" t="str">
        <x:v>Conversion Filing</x:v>
      </x:c>
      <x:c r="F227" t="str">
        <x:v>Online</x:v>
      </x:c>
      <x:c r="G227" t="str">
        <x:v>Texas Filing Operations</x:v>
      </x:c>
      <x:c r="H227" t="str">
        <x:v>Completed</x:v>
      </x:c>
      <x:c r="I227" t="n">
        <x:v>7</x:v>
      </x:c>
      <x:c r="J227" t="n">
        <x:v>4</x:v>
      </x:c>
      <x:c r="K227" t="str">
        <x:f>IF(OR(H227="Pending",H227="Processing"),"Open",IF(I227&lt;=J227,"Yes","No"))</x:f>
        <x:v>No</x:v>
      </x:c>
      <x:c r="L227" t="str"/>
      <x:c r="M227" s="12" t="n">
        <x:v>46171</x:v>
      </x:c>
      <x:c r="N227" s="12" t="n">
        <x:v>46178</x:v>
      </x:c>
      <x:c r="O227" t="str">
        <x:v>No</x:v>
      </x:c>
      <x:c r="P227" t="str">
        <x:v>High</x:v>
      </x:c>
    </x:row>
    <x:row r="228">
      <x:c r="A228" t="str">
        <x:v>FIL-20260227</x:v>
      </x:c>
      <x:c r="B228" t="str">
        <x:v>Capital Healthcare LLC</x:v>
      </x:c>
      <x:c r="C228" t="str">
        <x:v>LLC</x:v>
      </x:c>
      <x:c r="D228" t="str">
        <x:v>Virginia</x:v>
      </x:c>
      <x:c r="E228" t="str">
        <x:v>Foreign LLC Qualification</x:v>
      </x:c>
      <x:c r="F228" t="str">
        <x:v>Online</x:v>
      </x:c>
      <x:c r="G228" t="str">
        <x:v>Virginia Processing Team</x:v>
      </x:c>
      <x:c r="H228" t="str">
        <x:v>Completed</x:v>
      </x:c>
      <x:c r="I228" t="n">
        <x:v>3</x:v>
      </x:c>
      <x:c r="J228" t="n">
        <x:v>4</x:v>
      </x:c>
      <x:c r="K228" t="str">
        <x:f>IF(OR(H228="Pending",H228="Processing"),"Open",IF(I228&lt;=J228,"Yes","No"))</x:f>
        <x:v>Yes</x:v>
      </x:c>
      <x:c r="L228" t="str"/>
      <x:c r="M228" s="12" t="n">
        <x:v>46181</x:v>
      </x:c>
      <x:c r="N228" s="12" t="n">
        <x:v>46184</x:v>
      </x:c>
      <x:c r="O228" t="str">
        <x:v>No</x:v>
      </x:c>
      <x:c r="P228" t="str">
        <x:v>High</x:v>
      </x:c>
    </x:row>
    <x:row r="229">
      <x:c r="A229" t="str">
        <x:v>FIL-20260228</x:v>
      </x:c>
      <x:c r="B229" t="str">
        <x:v>Summit Partners Corporation</x:v>
      </x:c>
      <x:c r="C229" t="str">
        <x:v>Profit Corporation</x:v>
      </x:c>
      <x:c r="D229" t="str">
        <x:v>California</x:v>
      </x:c>
      <x:c r="E229" t="str">
        <x:v>Corporation Dissolution</x:v>
      </x:c>
      <x:c r="F229" t="str">
        <x:v>Online</x:v>
      </x:c>
      <x:c r="G229" t="str">
        <x:v>West Coast Processing Team</x:v>
      </x:c>
      <x:c r="H229" t="str">
        <x:v>Completed</x:v>
      </x:c>
      <x:c r="I229" t="n">
        <x:v>9</x:v>
      </x:c>
      <x:c r="J229" t="n">
        <x:v>5</x:v>
      </x:c>
      <x:c r="K229" t="str">
        <x:f>IF(OR(H229="Pending",H229="Processing"),"Open",IF(I229&lt;=J229,"Yes","No"))</x:f>
        <x:v>No</x:v>
      </x:c>
      <x:c r="L229" t="str"/>
      <x:c r="M229" s="12" t="n">
        <x:v>46195</x:v>
      </x:c>
      <x:c r="N229" s="12" t="n">
        <x:v>46204</x:v>
      </x:c>
      <x:c r="O229" t="str">
        <x:v>No</x:v>
      </x:c>
      <x:c r="P229" t="str">
        <x:v>Urgent</x:v>
      </x:c>
    </x:row>
    <x:row r="230">
      <x:c r="A230" t="str">
        <x:v>FIL-20260229</x:v>
      </x:c>
      <x:c r="B230" t="str">
        <x:v>Summit Holdings LLC</x:v>
      </x:c>
      <x:c r="C230" t="str">
        <x:v>LLC</x:v>
      </x:c>
      <x:c r="D230" t="str">
        <x:v>Illinois</x:v>
      </x:c>
      <x:c r="E230" t="str">
        <x:v>LLC Amendment</x:v>
      </x:c>
      <x:c r="F230" t="str">
        <x:v>Online</x:v>
      </x:c>
      <x:c r="G230" t="str">
        <x:v>Illinois Online Fulfillment</x:v>
      </x:c>
      <x:c r="H230" t="str">
        <x:v>Completed</x:v>
      </x:c>
      <x:c r="I230" t="n">
        <x:v>7</x:v>
      </x:c>
      <x:c r="J230" t="n">
        <x:v>3</x:v>
      </x:c>
      <x:c r="K230" t="str">
        <x:f>IF(OR(H230="Pending",H230="Processing"),"Open",IF(I230&lt;=J230,"Yes","No"))</x:f>
        <x:v>No</x:v>
      </x:c>
      <x:c r="L230" t="str"/>
      <x:c r="M230" s="12" t="n">
        <x:v>46054</x:v>
      </x:c>
      <x:c r="N230" s="12" t="n">
        <x:v>46061</x:v>
      </x:c>
      <x:c r="O230" t="str">
        <x:v>Yes</x:v>
      </x:c>
      <x:c r="P230" t="str">
        <x:v>Urgent</x:v>
      </x:c>
    </x:row>
    <x:row r="231">
      <x:c r="A231" t="str">
        <x:v>FIL-20260230</x:v>
      </x:c>
      <x:c r="B231" t="str">
        <x:v>Evergreen Group L.L.C.</x:v>
      </x:c>
      <x:c r="C231" t="str">
        <x:v>LLC</x:v>
      </x:c>
      <x:c r="D231" t="str">
        <x:v>Florida</x:v>
      </x:c>
      <x:c r="E231" t="str">
        <x:v>LLC Amendment</x:v>
      </x:c>
      <x:c r="F231" t="str">
        <x:v>Online</x:v>
      </x:c>
      <x:c r="G231" t="str">
        <x:v>Florida Online Fulfillment</x:v>
      </x:c>
      <x:c r="H231" t="str">
        <x:v>Completed</x:v>
      </x:c>
      <x:c r="I231" t="n">
        <x:v>5</x:v>
      </x:c>
      <x:c r="J231" t="n">
        <x:v>3</x:v>
      </x:c>
      <x:c r="K231" t="str">
        <x:f>IF(OR(H231="Pending",H231="Processing"),"Open",IF(I231&lt;=J231,"Yes","No"))</x:f>
        <x:v>No</x:v>
      </x:c>
      <x:c r="L231" t="str"/>
      <x:c r="M231" s="12" t="n">
        <x:v>46141</x:v>
      </x:c>
      <x:c r="N231" s="12" t="n">
        <x:v>46146</x:v>
      </x:c>
      <x:c r="O231" t="str">
        <x:v>No</x:v>
      </x:c>
      <x:c r="P231" t="str">
        <x:v>Standard</x:v>
      </x:c>
    </x:row>
    <x:row r="232">
      <x:c r="A232" t="str">
        <x:v>FIL-20260231</x:v>
      </x:c>
      <x:c r="B232" t="str">
        <x:v>Evergreen Partners LLC</x:v>
      </x:c>
      <x:c r="C232" t="str">
        <x:v>LLC</x:v>
      </x:c>
      <x:c r="D232" t="str">
        <x:v>Illinois</x:v>
      </x:c>
      <x:c r="E232" t="str">
        <x:v>LLC Formation</x:v>
      </x:c>
      <x:c r="F232" t="str">
        <x:v>Mail</x:v>
      </x:c>
      <x:c r="G232" t="str">
        <x:v>Illinois Fulfillment Team</x:v>
      </x:c>
      <x:c r="H232" t="str">
        <x:v>Pending</x:v>
      </x:c>
      <x:c r="I232" t="n">
        <x:v>5</x:v>
      </x:c>
      <x:c r="J232" t="n">
        <x:v>6</x:v>
      </x:c>
      <x:c r="K232" t="str">
        <x:f>IF(OR(H232="Pending",H232="Processing"),"Open",IF(I232&lt;=J232,"Yes","No"))</x:f>
        <x:v>Open</x:v>
      </x:c>
      <x:c r="L232" t="str"/>
      <x:c r="M232" s="12" t="n">
        <x:v>46118</x:v>
      </x:c>
      <x:c r="N232" s="12"/>
      <x:c r="O232" t="str">
        <x:v>Yes</x:v>
      </x:c>
      <x:c r="P232" t="str">
        <x:v>Standard</x:v>
      </x:c>
    </x:row>
    <x:row r="233">
      <x:c r="A233" t="str">
        <x:v>FIL-20260232</x:v>
      </x:c>
      <x:c r="B233" t="str">
        <x:v>Sunrise Logistics Corp.</x:v>
      </x:c>
      <x:c r="C233" t="str">
        <x:v>Profit Corporation</x:v>
      </x:c>
      <x:c r="D233" t="str">
        <x:v>Delaware</x:v>
      </x:c>
      <x:c r="E233" t="str">
        <x:v>Profit Corporation Formation</x:v>
      </x:c>
      <x:c r="F233" t="str">
        <x:v>Expedited</x:v>
      </x:c>
      <x:c r="G233" t="str">
        <x:v>Delaware Processing Team</x:v>
      </x:c>
      <x:c r="H233" t="str">
        <x:v>Rejected</x:v>
      </x:c>
      <x:c r="I233" t="n">
        <x:v>4</x:v>
      </x:c>
      <x:c r="J233" t="n">
        <x:v>1</x:v>
      </x:c>
      <x:c r="K233" t="str">
        <x:f>IF(OR(H233="Pending",H233="Processing"),"Open",IF(I233&lt;=J233,"Yes","No"))</x:f>
        <x:v>No</x:v>
      </x:c>
      <x:c r="L233" t="str">
        <x:v>Missing Registered Agent Consent</x:v>
      </x:c>
      <x:c r="M233" s="12" t="n">
        <x:v>46135</x:v>
      </x:c>
      <x:c r="N233" s="12"/>
      <x:c r="O233" t="str">
        <x:v>Yes</x:v>
      </x:c>
      <x:c r="P233" t="str">
        <x:v>Standard</x:v>
      </x:c>
    </x:row>
    <x:row r="234">
      <x:c r="A234" t="str">
        <x:v>FIL-20260233</x:v>
      </x:c>
      <x:c r="B234" t="str">
        <x:v>Blue Ridge Enterprises L.L.C.</x:v>
      </x:c>
      <x:c r="C234" t="str">
        <x:v>LLC</x:v>
      </x:c>
      <x:c r="D234" t="str">
        <x:v>North Carolina</x:v>
      </x:c>
      <x:c r="E234" t="str">
        <x:v>Foreign LLC Qualification</x:v>
      </x:c>
      <x:c r="F234" t="str">
        <x:v>Mail</x:v>
      </x:c>
      <x:c r="G234" t="str">
        <x:v>North Carolina Processing Team</x:v>
      </x:c>
      <x:c r="H234" t="str">
        <x:v>Completed</x:v>
      </x:c>
      <x:c r="I234" t="n">
        <x:v>7</x:v>
      </x:c>
      <x:c r="J234" t="n">
        <x:v>6</x:v>
      </x:c>
      <x:c r="K234" t="str">
        <x:f>IF(OR(H234="Pending",H234="Processing"),"Open",IF(I234&lt;=J234,"Yes","No"))</x:f>
        <x:v>No</x:v>
      </x:c>
      <x:c r="L234" t="str"/>
      <x:c r="M234" s="12" t="n">
        <x:v>46054</x:v>
      </x:c>
      <x:c r="N234" s="12" t="n">
        <x:v>46061</x:v>
      </x:c>
      <x:c r="O234" t="str">
        <x:v>No</x:v>
      </x:c>
      <x:c r="P234" t="str">
        <x:v>Standard</x:v>
      </x:c>
    </x:row>
    <x:row r="235">
      <x:c r="A235" t="str">
        <x:v>FIL-20260234</x:v>
      </x:c>
      <x:c r="B235" t="str">
        <x:v>Sterling Technologies Association Inc.</x:v>
      </x:c>
      <x:c r="C235" t="str">
        <x:v>Nonprofit Corporation</x:v>
      </x:c>
      <x:c r="D235" t="str">
        <x:v>New York</x:v>
      </x:c>
      <x:c r="E235" t="str">
        <x:v>Principal Address Update</x:v>
      </x:c>
      <x:c r="F235" t="str">
        <x:v>Mail</x:v>
      </x:c>
      <x:c r="G235" t="str">
        <x:v>Northeast Processing Team</x:v>
      </x:c>
      <x:c r="H235" t="str">
        <x:v>Processing</x:v>
      </x:c>
      <x:c r="I235" t="n">
        <x:v>9</x:v>
      </x:c>
      <x:c r="J235" t="n">
        <x:v>7</x:v>
      </x:c>
      <x:c r="K235" t="str">
        <x:f>IF(OR(H235="Pending",H235="Processing"),"Open",IF(I235&lt;=J235,"Yes","No"))</x:f>
        <x:v>Open</x:v>
      </x:c>
      <x:c r="L235" t="str"/>
      <x:c r="M235" s="12" t="n">
        <x:v>46134</x:v>
      </x:c>
      <x:c r="N235" s="12"/>
      <x:c r="O235" t="str">
        <x:v>Yes</x:v>
      </x:c>
      <x:c r="P235" t="str">
        <x:v>Standard</x:v>
      </x:c>
    </x:row>
    <x:row r="236">
      <x:c r="A236" t="str">
        <x:v>FIL-20260235</x:v>
      </x:c>
      <x:c r="B236" t="str">
        <x:v>Sterling Properties L.L.C.</x:v>
      </x:c>
      <x:c r="C236" t="str">
        <x:v>LLC</x:v>
      </x:c>
      <x:c r="D236" t="str">
        <x:v>North Carolina</x:v>
      </x:c>
      <x:c r="E236" t="str">
        <x:v>LLC Formation</x:v>
      </x:c>
      <x:c r="F236" t="str">
        <x:v>Online</x:v>
      </x:c>
      <x:c r="G236" t="str">
        <x:v>North Carolina Processing Team</x:v>
      </x:c>
      <x:c r="H236" t="str">
        <x:v>Processing</x:v>
      </x:c>
      <x:c r="I236" t="n">
        <x:v>1</x:v>
      </x:c>
      <x:c r="J236" t="n">
        <x:v>4</x:v>
      </x:c>
      <x:c r="K236" t="str">
        <x:f>IF(OR(H236="Pending",H236="Processing"),"Open",IF(I236&lt;=J236,"Yes","No"))</x:f>
        <x:v>Open</x:v>
      </x:c>
      <x:c r="L236" t="str"/>
      <x:c r="M236" s="12" t="n">
        <x:v>46114</x:v>
      </x:c>
      <x:c r="N236" s="12"/>
      <x:c r="O236" t="str">
        <x:v>No</x:v>
      </x:c>
      <x:c r="P236" t="str">
        <x:v>High</x:v>
      </x:c>
    </x:row>
    <x:row r="237">
      <x:c r="A237" t="str">
        <x:v>FIL-20260236</x:v>
      </x:c>
      <x:c r="B237" t="str">
        <x:v>Evergreen Services L.L.P.</x:v>
      </x:c>
      <x:c r="C237" t="str">
        <x:v>LLP</x:v>
      </x:c>
      <x:c r="D237" t="str">
        <x:v>Virginia</x:v>
      </x:c>
      <x:c r="E237" t="str">
        <x:v>Annual Report</x:v>
      </x:c>
      <x:c r="F237" t="str">
        <x:v>Mail</x:v>
      </x:c>
      <x:c r="G237" t="str">
        <x:v>Virginia Processing Team</x:v>
      </x:c>
      <x:c r="H237" t="str">
        <x:v>Completed</x:v>
      </x:c>
      <x:c r="I237" t="n">
        <x:v>4</x:v>
      </x:c>
      <x:c r="J237" t="n">
        <x:v>6</x:v>
      </x:c>
      <x:c r="K237" t="str">
        <x:f>IF(OR(H237="Pending",H237="Processing"),"Open",IF(I237&lt;=J237,"Yes","No"))</x:f>
        <x:v>Yes</x:v>
      </x:c>
      <x:c r="L237" t="str"/>
      <x:c r="M237" s="12" t="n">
        <x:v>46140</x:v>
      </x:c>
      <x:c r="N237" s="12" t="n">
        <x:v>46144</x:v>
      </x:c>
      <x:c r="O237" t="str">
        <x:v>No</x:v>
      </x:c>
      <x:c r="P237" t="str">
        <x:v>Standard</x:v>
      </x:c>
    </x:row>
    <x:row r="238">
      <x:c r="A238" t="str">
        <x:v>FIL-20260237</x:v>
      </x:c>
      <x:c r="B238" t="str">
        <x:v>Crescent Properties Foundation Inc.</x:v>
      </x:c>
      <x:c r="C238" t="str">
        <x:v>Nonprofit Corporation</x:v>
      </x:c>
      <x:c r="D238" t="str">
        <x:v>Illinois</x:v>
      </x:c>
      <x:c r="E238" t="str">
        <x:v>Annual Report</x:v>
      </x:c>
      <x:c r="F238" t="str">
        <x:v>Online</x:v>
      </x:c>
      <x:c r="G238" t="str">
        <x:v>Illinois Online Fulfillment</x:v>
      </x:c>
      <x:c r="H238" t="str">
        <x:v>Completed</x:v>
      </x:c>
      <x:c r="I238" t="n">
        <x:v>3</x:v>
      </x:c>
      <x:c r="J238" t="n">
        <x:v>4</x:v>
      </x:c>
      <x:c r="K238" t="str">
        <x:f>IF(OR(H238="Pending",H238="Processing"),"Open",IF(I238&lt;=J238,"Yes","No"))</x:f>
        <x:v>Yes</x:v>
      </x:c>
      <x:c r="L238" t="str"/>
      <x:c r="M238" s="12" t="n">
        <x:v>46078</x:v>
      </x:c>
      <x:c r="N238" s="12" t="n">
        <x:v>46081</x:v>
      </x:c>
      <x:c r="O238" t="str">
        <x:v>Yes</x:v>
      </x:c>
      <x:c r="P238" t="str">
        <x:v>Standard</x:v>
      </x:c>
    </x:row>
    <x:row r="239">
      <x:c r="A239" t="str">
        <x:v>FIL-20260238</x:v>
      </x:c>
      <x:c r="B239" t="str">
        <x:v>Blue Ridge Partners LLP</x:v>
      </x:c>
      <x:c r="C239" t="str">
        <x:v>LLP</x:v>
      </x:c>
      <x:c r="D239" t="str">
        <x:v>Florida</x:v>
      </x:c>
      <x:c r="E239" t="str">
        <x:v>Conversion Filing</x:v>
      </x:c>
      <x:c r="F239" t="str">
        <x:v>Online</x:v>
      </x:c>
      <x:c r="G239" t="str">
        <x:v>Florida Online Fulfillment</x:v>
      </x:c>
      <x:c r="H239" t="str">
        <x:v>Completed</x:v>
      </x:c>
      <x:c r="I239" t="n">
        <x:v>6</x:v>
      </x:c>
      <x:c r="J239" t="n">
        <x:v>3</x:v>
      </x:c>
      <x:c r="K239" t="str">
        <x:f>IF(OR(H239="Pending",H239="Processing"),"Open",IF(I239&lt;=J239,"Yes","No"))</x:f>
        <x:v>No</x:v>
      </x:c>
      <x:c r="L239" t="str"/>
      <x:c r="M239" s="12" t="n">
        <x:v>46127</x:v>
      </x:c>
      <x:c r="N239" s="12" t="n">
        <x:v>46133</x:v>
      </x:c>
      <x:c r="O239" t="str">
        <x:v>No</x:v>
      </x:c>
      <x:c r="P239" t="str">
        <x:v>High</x:v>
      </x:c>
    </x:row>
    <x:row r="240">
      <x:c r="A240" t="str">
        <x:v>FIL-20260239</x:v>
      </x:c>
      <x:c r="B240" t="str">
        <x:v>Sterling Systems LLC</x:v>
      </x:c>
      <x:c r="C240" t="str">
        <x:v>LLC</x:v>
      </x:c>
      <x:c r="D240" t="str">
        <x:v>California</x:v>
      </x:c>
      <x:c r="E240" t="str">
        <x:v>Foreign LLC Qualification</x:v>
      </x:c>
      <x:c r="F240" t="str">
        <x:v>Online</x:v>
      </x:c>
      <x:c r="G240" t="str">
        <x:v>West Coast Processing Team</x:v>
      </x:c>
      <x:c r="H240" t="str">
        <x:v>Completed</x:v>
      </x:c>
      <x:c r="I240" t="n">
        <x:v>3</x:v>
      </x:c>
      <x:c r="J240" t="n">
        <x:v>5</x:v>
      </x:c>
      <x:c r="K240" t="str">
        <x:f>IF(OR(H240="Pending",H240="Processing"),"Open",IF(I240&lt;=J240,"Yes","No"))</x:f>
        <x:v>Yes</x:v>
      </x:c>
      <x:c r="L240" t="str"/>
      <x:c r="M240" s="12" t="n">
        <x:v>46159</x:v>
      </x:c>
      <x:c r="N240" s="12" t="n">
        <x:v>46162</x:v>
      </x:c>
      <x:c r="O240" t="str">
        <x:v>No</x:v>
      </x:c>
      <x:c r="P240" t="str">
        <x:v>Standard</x:v>
      </x:c>
    </x:row>
    <x:row r="241">
      <x:c r="A241" t="str">
        <x:v>FIL-20260240</x:v>
      </x:c>
      <x:c r="B241" t="str">
        <x:v>Summit Ventures Corp.</x:v>
      </x:c>
      <x:c r="C241" t="str">
        <x:v>Profit Corporation</x:v>
      </x:c>
      <x:c r="D241" t="str">
        <x:v>Delaware</x:v>
      </x:c>
      <x:c r="E241" t="str">
        <x:v>Foreign Corporation Qualification</x:v>
      </x:c>
      <x:c r="F241" t="str">
        <x:v>Expedited</x:v>
      </x:c>
      <x:c r="G241" t="str">
        <x:v>Delaware Processing Team</x:v>
      </x:c>
      <x:c r="H241" t="str">
        <x:v>Processing</x:v>
      </x:c>
      <x:c r="I241" t="n">
        <x:v>1</x:v>
      </x:c>
      <x:c r="J241" t="n">
        <x:v>1</x:v>
      </x:c>
      <x:c r="K241" t="str">
        <x:f>IF(OR(H241="Pending",H241="Processing"),"Open",IF(I241&lt;=J241,"Yes","No"))</x:f>
        <x:v>Open</x:v>
      </x:c>
      <x:c r="L241" t="str"/>
      <x:c r="M241" s="12" t="n">
        <x:v>46132</x:v>
      </x:c>
      <x:c r="N241" s="12"/>
      <x:c r="O241" t="str">
        <x:v>Yes</x:v>
      </x:c>
      <x:c r="P241" t="str">
        <x:v>Standard</x:v>
      </x:c>
    </x:row>
    <x:row r="242">
      <x:c r="A242" t="str">
        <x:v>FIL-20260241</x:v>
      </x:c>
      <x:c r="B242" t="str">
        <x:v>First State Advisors L.L.C.</x:v>
      </x:c>
      <x:c r="C242" t="str">
        <x:v>LLC</x:v>
      </x:c>
      <x:c r="D242" t="str">
        <x:v>Florida</x:v>
      </x:c>
      <x:c r="E242" t="str">
        <x:v>LLC Amendment</x:v>
      </x:c>
      <x:c r="F242" t="str">
        <x:v>Online</x:v>
      </x:c>
      <x:c r="G242" t="str">
        <x:v>Florida Online Fulfillment</x:v>
      </x:c>
      <x:c r="H242" t="str">
        <x:v>Completed</x:v>
      </x:c>
      <x:c r="I242" t="n">
        <x:v>4</x:v>
      </x:c>
      <x:c r="J242" t="n">
        <x:v>3</x:v>
      </x:c>
      <x:c r="K242" t="str">
        <x:f>IF(OR(H242="Pending",H242="Processing"),"Open",IF(I242&lt;=J242,"Yes","No"))</x:f>
        <x:v>No</x:v>
      </x:c>
      <x:c r="L242" t="str"/>
      <x:c r="M242" s="12" t="n">
        <x:v>46112</x:v>
      </x:c>
      <x:c r="N242" s="12" t="n">
        <x:v>46116</x:v>
      </x:c>
      <x:c r="O242" t="str">
        <x:v>No</x:v>
      </x:c>
      <x:c r="P242" t="str">
        <x:v>Standard</x:v>
      </x:c>
    </x:row>
    <x:row r="243">
      <x:c r="A243" t="str">
        <x:v>FIL-20260242</x:v>
      </x:c>
      <x:c r="B243" t="str">
        <x:v>Sterling Technologies Foundation Inc.</x:v>
      </x:c>
      <x:c r="C243" t="str">
        <x:v>Nonprofit Corporation</x:v>
      </x:c>
      <x:c r="D243" t="str">
        <x:v>New York</x:v>
      </x:c>
      <x:c r="E243" t="str">
        <x:v>Certified Copy Request</x:v>
      </x:c>
      <x:c r="F243" t="str">
        <x:v>Online</x:v>
      </x:c>
      <x:c r="G243" t="str">
        <x:v>Northeast Processing Team</x:v>
      </x:c>
      <x:c r="H243" t="str">
        <x:v>Completed</x:v>
      </x:c>
      <x:c r="I243" t="n">
        <x:v>6</x:v>
      </x:c>
      <x:c r="J243" t="n">
        <x:v>5</x:v>
      </x:c>
      <x:c r="K243" t="str">
        <x:f>IF(OR(H243="Pending",H243="Processing"),"Open",IF(I243&lt;=J243,"Yes","No"))</x:f>
        <x:v>No</x:v>
      </x:c>
      <x:c r="L243" t="str"/>
      <x:c r="M243" s="12" t="n">
        <x:v>46062</x:v>
      </x:c>
      <x:c r="N243" s="12" t="n">
        <x:v>46068</x:v>
      </x:c>
      <x:c r="O243" t="str">
        <x:v>Yes</x:v>
      </x:c>
      <x:c r="P243" t="str">
        <x:v>Standard</x:v>
      </x:c>
    </x:row>
    <x:row r="244">
      <x:c r="A244" t="str">
        <x:v>FIL-20260243</x:v>
      </x:c>
      <x:c r="B244" t="str">
        <x:v>Harbor Enterprises Corporation</x:v>
      </x:c>
      <x:c r="C244" t="str">
        <x:v>Profit Corporation</x:v>
      </x:c>
      <x:c r="D244" t="str">
        <x:v>Florida</x:v>
      </x:c>
      <x:c r="E244" t="str">
        <x:v>Profit Corporation Formation</x:v>
      </x:c>
      <x:c r="F244" t="str">
        <x:v>Online</x:v>
      </x:c>
      <x:c r="G244" t="str">
        <x:v>Florida Online Fulfillment</x:v>
      </x:c>
      <x:c r="H244" t="str">
        <x:v>Completed</x:v>
      </x:c>
      <x:c r="I244" t="n">
        <x:v>2</x:v>
      </x:c>
      <x:c r="J244" t="n">
        <x:v>3</x:v>
      </x:c>
      <x:c r="K244" t="str">
        <x:f>IF(OR(H244="Pending",H244="Processing"),"Open",IF(I244&lt;=J244,"Yes","No"))</x:f>
        <x:v>Yes</x:v>
      </x:c>
      <x:c r="L244" t="str"/>
      <x:c r="M244" s="12" t="n">
        <x:v>46035</x:v>
      </x:c>
      <x:c r="N244" s="12" t="n">
        <x:v>46037</x:v>
      </x:c>
      <x:c r="O244" t="str">
        <x:v>No</x:v>
      </x:c>
      <x:c r="P244" t="str">
        <x:v>Standard</x:v>
      </x:c>
    </x:row>
    <x:row r="245">
      <x:c r="A245" t="str">
        <x:v>FIL-20260244</x:v>
      </x:c>
      <x:c r="B245" t="str">
        <x:v>Atlantic Logistics LLC</x:v>
      </x:c>
      <x:c r="C245" t="str">
        <x:v>LLC</x:v>
      </x:c>
      <x:c r="D245" t="str">
        <x:v>Maryland</x:v>
      </x:c>
      <x:c r="E245" t="str">
        <x:v>LLC Formation</x:v>
      </x:c>
      <x:c r="F245" t="str">
        <x:v>Mail</x:v>
      </x:c>
      <x:c r="G245" t="str">
        <x:v>Maryland Processing Team</x:v>
      </x:c>
      <x:c r="H245" t="str">
        <x:v>Returned</x:v>
      </x:c>
      <x:c r="I245" t="n">
        <x:v>4</x:v>
      </x:c>
      <x:c r="J245" t="n">
        <x:v>6</x:v>
      </x:c>
      <x:c r="K245" t="str">
        <x:f>IF(OR(H245="Pending",H245="Processing"),"Open",IF(I245&lt;=J245,"Yes","No"))</x:f>
        <x:v>Yes</x:v>
      </x:c>
      <x:c r="L245" t="str">
        <x:v>Incomplete Qualification Packet</x:v>
      </x:c>
      <x:c r="M245" s="12" t="n">
        <x:v>46037</x:v>
      </x:c>
      <x:c r="N245" s="12"/>
      <x:c r="O245" t="str">
        <x:v>No</x:v>
      </x:c>
      <x:c r="P245" t="str">
        <x:v>Standard</x:v>
      </x:c>
    </x:row>
    <x:row r="246">
      <x:c r="A246" t="str">
        <x:v>FIL-20260245</x:v>
      </x:c>
      <x:c r="B246" t="str">
        <x:v>Summit Compliance Corp.</x:v>
      </x:c>
      <x:c r="C246" t="str">
        <x:v>Profit Corporation</x:v>
      </x:c>
      <x:c r="D246" t="str">
        <x:v>North Carolina</x:v>
      </x:c>
      <x:c r="E246" t="str">
        <x:v>Corporation Amendment</x:v>
      </x:c>
      <x:c r="F246" t="str">
        <x:v>Mail</x:v>
      </x:c>
      <x:c r="G246" t="str">
        <x:v>North Carolina Processing Team</x:v>
      </x:c>
      <x:c r="H246" t="str">
        <x:v>Completed</x:v>
      </x:c>
      <x:c r="I246" t="n">
        <x:v>1</x:v>
      </x:c>
      <x:c r="J246" t="n">
        <x:v>6</x:v>
      </x:c>
      <x:c r="K246" t="str">
        <x:f>IF(OR(H246="Pending",H246="Processing"),"Open",IF(I246&lt;=J246,"Yes","No"))</x:f>
        <x:v>Yes</x:v>
      </x:c>
      <x:c r="L246" t="str"/>
      <x:c r="M246" s="12" t="n">
        <x:v>46155</x:v>
      </x:c>
      <x:c r="N246" s="12" t="n">
        <x:v>46156</x:v>
      </x:c>
      <x:c r="O246" t="str">
        <x:v>No</x:v>
      </x:c>
      <x:c r="P246" t="str">
        <x:v>High</x:v>
      </x:c>
    </x:row>
    <x:row r="247">
      <x:c r="A247" t="str">
        <x:v>FIL-20260246</x:v>
      </x:c>
      <x:c r="B247" t="str">
        <x:v>Evergreen Partners Foundation Inc.</x:v>
      </x:c>
      <x:c r="C247" t="str">
        <x:v>Nonprofit Corporation</x:v>
      </x:c>
      <x:c r="D247" t="str">
        <x:v>Georgia</x:v>
      </x:c>
      <x:c r="E247" t="str">
        <x:v>Nonprofit Corporation Formation</x:v>
      </x:c>
      <x:c r="F247" t="str">
        <x:v>Mail</x:v>
      </x:c>
      <x:c r="G247" t="str">
        <x:v>Southeast Processing Team</x:v>
      </x:c>
      <x:c r="H247" t="str">
        <x:v>Completed</x:v>
      </x:c>
      <x:c r="I247" t="n">
        <x:v>9</x:v>
      </x:c>
      <x:c r="J247" t="n">
        <x:v>6</x:v>
      </x:c>
      <x:c r="K247" t="str">
        <x:f>IF(OR(H247="Pending",H247="Processing"),"Open",IF(I247&lt;=J247,"Yes","No"))</x:f>
        <x:v>No</x:v>
      </x:c>
      <x:c r="L247" t="str"/>
      <x:c r="M247" s="12" t="n">
        <x:v>46173</x:v>
      </x:c>
      <x:c r="N247" s="12" t="n">
        <x:v>46182</x:v>
      </x:c>
      <x:c r="O247" t="str">
        <x:v>No</x:v>
      </x:c>
      <x:c r="P247" t="str">
        <x:v>High</x:v>
      </x:c>
    </x:row>
    <x:row r="248">
      <x:c r="A248" t="str">
        <x:v>FIL-20260247</x:v>
      </x:c>
      <x:c r="B248" t="str">
        <x:v>Legacy Development LP</x:v>
      </x:c>
      <x:c r="C248" t="str">
        <x:v>LP</x:v>
      </x:c>
      <x:c r="D248" t="str">
        <x:v>Illinois</x:v>
      </x:c>
      <x:c r="E248" t="str">
        <x:v>Statement of Domestication</x:v>
      </x:c>
      <x:c r="F248" t="str">
        <x:v>Online</x:v>
      </x:c>
      <x:c r="G248" t="str">
        <x:v>Illinois Online Fulfillment</x:v>
      </x:c>
      <x:c r="H248" t="str">
        <x:v>Processing</x:v>
      </x:c>
      <x:c r="I248" t="n">
        <x:v>4</x:v>
      </x:c>
      <x:c r="J248" t="n">
        <x:v>4</x:v>
      </x:c>
      <x:c r="K248" t="str">
        <x:f>IF(OR(H248="Pending",H248="Processing"),"Open",IF(I248&lt;=J248,"Yes","No"))</x:f>
        <x:v>Open</x:v>
      </x:c>
      <x:c r="L248" t="str"/>
      <x:c r="M248" s="12" t="n">
        <x:v>46079</x:v>
      </x:c>
      <x:c r="N248" s="12"/>
      <x:c r="O248" t="str">
        <x:v>Yes</x:v>
      </x:c>
      <x:c r="P248" t="str">
        <x:v>High</x:v>
      </x:c>
    </x:row>
    <x:row r="249">
      <x:c r="A249" t="str">
        <x:v>FIL-20260248</x:v>
      </x:c>
      <x:c r="B249" t="str">
        <x:v>NorthStar Advisors LLC</x:v>
      </x:c>
      <x:c r="C249" t="str">
        <x:v>LLC</x:v>
      </x:c>
      <x:c r="D249" t="str">
        <x:v>Florida</x:v>
      </x:c>
      <x:c r="E249" t="str">
        <x:v>LLC Amendment</x:v>
      </x:c>
      <x:c r="F249" t="str">
        <x:v>OTC</x:v>
      </x:c>
      <x:c r="G249" t="str">
        <x:v>Florida OTC Fulfillment</x:v>
      </x:c>
      <x:c r="H249" t="str">
        <x:v>Completed</x:v>
      </x:c>
      <x:c r="I249" t="n">
        <x:v>7</x:v>
      </x:c>
      <x:c r="J249" t="n">
        <x:v>3</x:v>
      </x:c>
      <x:c r="K249" t="str">
        <x:f>IF(OR(H249="Pending",H249="Processing"),"Open",IF(I249&lt;=J249,"Yes","No"))</x:f>
        <x:v>No</x:v>
      </x:c>
      <x:c r="L249" t="str"/>
      <x:c r="M249" s="12" t="n">
        <x:v>46047</x:v>
      </x:c>
      <x:c r="N249" s="12" t="n">
        <x:v>46054</x:v>
      </x:c>
      <x:c r="O249" t="str">
        <x:v>No</x:v>
      </x:c>
      <x:c r="P249" t="str">
        <x:v>Standard</x:v>
      </x:c>
    </x:row>
    <x:row r="250">
      <x:c r="A250" t="str">
        <x:v>FIL-20260249</x:v>
      </x:c>
      <x:c r="B250" t="str">
        <x:v>Legacy Management L.P.</x:v>
      </x:c>
      <x:c r="C250" t="str">
        <x:v>LP</x:v>
      </x:c>
      <x:c r="D250" t="str">
        <x:v>New York</x:v>
      </x:c>
      <x:c r="E250" t="str">
        <x:v>Principal Address Update</x:v>
      </x:c>
      <x:c r="F250" t="str">
        <x:v>Mail</x:v>
      </x:c>
      <x:c r="G250" t="str">
        <x:v>Northeast Processing Team</x:v>
      </x:c>
      <x:c r="H250" t="str">
        <x:v>Completed</x:v>
      </x:c>
      <x:c r="I250" t="n">
        <x:v>3</x:v>
      </x:c>
      <x:c r="J250" t="n">
        <x:v>7</x:v>
      </x:c>
      <x:c r="K250" t="str">
        <x:f>IF(OR(H250="Pending",H250="Processing"),"Open",IF(I250&lt;=J250,"Yes","No"))</x:f>
        <x:v>Yes</x:v>
      </x:c>
      <x:c r="L250" t="str"/>
      <x:c r="M250" s="12" t="n">
        <x:v>46115</x:v>
      </x:c>
      <x:c r="N250" s="12" t="n">
        <x:v>46118</x:v>
      </x:c>
      <x:c r="O250" t="str">
        <x:v>Yes</x:v>
      </x:c>
      <x:c r="P250" t="str">
        <x:v>Standard</x:v>
      </x:c>
    </x:row>
    <x:row r="251">
      <x:c r="A251" t="str">
        <x:v>FIL-20260250</x:v>
      </x:c>
      <x:c r="B251" t="str">
        <x:v>Capital Group L.L.C.</x:v>
      </x:c>
      <x:c r="C251" t="str">
        <x:v>LLC</x:v>
      </x:c>
      <x:c r="D251" t="str">
        <x:v>New York</x:v>
      </x:c>
      <x:c r="E251" t="str">
        <x:v>LLC Formation</x:v>
      </x:c>
      <x:c r="F251" t="str">
        <x:v>Mail</x:v>
      </x:c>
      <x:c r="G251" t="str">
        <x:v>Northeast Processing Team</x:v>
      </x:c>
      <x:c r="H251" t="str">
        <x:v>Processing</x:v>
      </x:c>
      <x:c r="I251" t="n">
        <x:v>1</x:v>
      </x:c>
      <x:c r="J251" t="n">
        <x:v>7</x:v>
      </x:c>
      <x:c r="K251" t="str">
        <x:f>IF(OR(H251="Pending",H251="Processing"),"Open",IF(I251&lt;=J251,"Yes","No"))</x:f>
        <x:v>Open</x:v>
      </x:c>
      <x:c r="L251" t="str"/>
      <x:c r="M251" s="12" t="n">
        <x:v>46199</x:v>
      </x:c>
      <x:c r="N251" s="12"/>
      <x:c r="O251" t="str">
        <x:v>Yes</x:v>
      </x:c>
      <x:c r="P251" t="str">
        <x:v>Standard</x:v>
      </x:c>
    </x:row>
    <x:row r="252">
      <x:c r="A252" t="str">
        <x:v>FIL-20260251</x:v>
      </x:c>
      <x:c r="B252" t="str">
        <x:v>Sunrise Holdings Corporation</x:v>
      </x:c>
      <x:c r="C252" t="str">
        <x:v>Profit Corporation</x:v>
      </x:c>
      <x:c r="D252" t="str">
        <x:v>New York</x:v>
      </x:c>
      <x:c r="E252" t="str">
        <x:v>Profit Corporation Formation</x:v>
      </x:c>
      <x:c r="F252" t="str">
        <x:v>Mail</x:v>
      </x:c>
      <x:c r="G252" t="str">
        <x:v>Northeast Processing Team</x:v>
      </x:c>
      <x:c r="H252" t="str">
        <x:v>Completed</x:v>
      </x:c>
      <x:c r="I252" t="n">
        <x:v>11</x:v>
      </x:c>
      <x:c r="J252" t="n">
        <x:v>7</x:v>
      </x:c>
      <x:c r="K252" t="str">
        <x:f>IF(OR(H252="Pending",H252="Processing"),"Open",IF(I252&lt;=J252,"Yes","No"))</x:f>
        <x:v>No</x:v>
      </x:c>
      <x:c r="L252" t="str"/>
      <x:c r="M252" s="12" t="n">
        <x:v>46078</x:v>
      </x:c>
      <x:c r="N252" s="12" t="n">
        <x:v>46089</x:v>
      </x:c>
      <x:c r="O252" t="str">
        <x:v>Yes</x:v>
      </x:c>
      <x:c r="P252" t="str">
        <x:v>Standard</x:v>
      </x:c>
    </x:row>
    <x:row r="253">
      <x:c r="A253" t="str">
        <x:v>FIL-20260252</x:v>
      </x:c>
      <x:c r="B253" t="str">
        <x:v>Magnolia Management PLLC</x:v>
      </x:c>
      <x:c r="C253" t="str">
        <x:v>PLLC</x:v>
      </x:c>
      <x:c r="D253" t="str">
        <x:v>California</x:v>
      </x:c>
      <x:c r="E253" t="str">
        <x:v>PLLC Formation</x:v>
      </x:c>
      <x:c r="F253" t="str">
        <x:v>Online</x:v>
      </x:c>
      <x:c r="G253" t="str">
        <x:v>West Coast Processing Team</x:v>
      </x:c>
      <x:c r="H253" t="str">
        <x:v>Completed</x:v>
      </x:c>
      <x:c r="I253" t="n">
        <x:v>9</x:v>
      </x:c>
      <x:c r="J253" t="n">
        <x:v>5</x:v>
      </x:c>
      <x:c r="K253" t="str">
        <x:f>IF(OR(H253="Pending",H253="Processing"),"Open",IF(I253&lt;=J253,"Yes","No"))</x:f>
        <x:v>No</x:v>
      </x:c>
      <x:c r="L253" t="str"/>
      <x:c r="M253" s="12" t="n">
        <x:v>46052</x:v>
      </x:c>
      <x:c r="N253" s="12" t="n">
        <x:v>46061</x:v>
      </x:c>
      <x:c r="O253" t="str">
        <x:v>No</x:v>
      </x:c>
      <x:c r="P253" t="str">
        <x:v>Urgent</x:v>
      </x:c>
    </x:row>
    <x:row r="254">
      <x:c r="A254" t="str">
        <x:v>FIL-20260253</x:v>
      </x:c>
      <x:c r="B254" t="str">
        <x:v>Sterling Properties Association Inc.</x:v>
      </x:c>
      <x:c r="C254" t="str">
        <x:v>Nonprofit Corporation</x:v>
      </x:c>
      <x:c r="D254" t="str">
        <x:v>Illinois</x:v>
      </x:c>
      <x:c r="E254" t="str">
        <x:v>Nonprofit Amendment</x:v>
      </x:c>
      <x:c r="F254" t="str">
        <x:v>Online</x:v>
      </x:c>
      <x:c r="G254" t="str">
        <x:v>Illinois Online Fulfillment</x:v>
      </x:c>
      <x:c r="H254" t="str">
        <x:v>Processing</x:v>
      </x:c>
      <x:c r="I254" t="n">
        <x:v>7</x:v>
      </x:c>
      <x:c r="J254" t="n">
        <x:v>4</x:v>
      </x:c>
      <x:c r="K254" t="str">
        <x:f>IF(OR(H254="Pending",H254="Processing"),"Open",IF(I254&lt;=J254,"Yes","No"))</x:f>
        <x:v>Open</x:v>
      </x:c>
      <x:c r="L254" t="str"/>
      <x:c r="M254" s="12" t="n">
        <x:v>46054</x:v>
      </x:c>
      <x:c r="N254" s="12"/>
      <x:c r="O254" t="str">
        <x:v>Yes</x:v>
      </x:c>
      <x:c r="P254" t="str">
        <x:v>Standard</x:v>
      </x:c>
    </x:row>
    <x:row r="255">
      <x:c r="A255" t="str">
        <x:v>FIL-20260254</x:v>
      </x:c>
      <x:c r="B255" t="str">
        <x:v>Blue Ridge Healthcare PLLC</x:v>
      </x:c>
      <x:c r="C255" t="str">
        <x:v>PLLC</x:v>
      </x:c>
      <x:c r="D255" t="str">
        <x:v>Florida</x:v>
      </x:c>
      <x:c r="E255" t="str">
        <x:v>Registered Agent Change</x:v>
      </x:c>
      <x:c r="F255" t="str">
        <x:v>OTC</x:v>
      </x:c>
      <x:c r="G255" t="str">
        <x:v>Florida OTC Fulfillment</x:v>
      </x:c>
      <x:c r="H255" t="str">
        <x:v>Processing</x:v>
      </x:c>
      <x:c r="I255" t="n">
        <x:v>4</x:v>
      </x:c>
      <x:c r="J255" t="n">
        <x:v>3</x:v>
      </x:c>
      <x:c r="K255" t="str">
        <x:f>IF(OR(H255="Pending",H255="Processing"),"Open",IF(I255&lt;=J255,"Yes","No"))</x:f>
        <x:v>Open</x:v>
      </x:c>
      <x:c r="L255" t="str"/>
      <x:c r="M255" s="12" t="n">
        <x:v>46091</x:v>
      </x:c>
      <x:c r="N255" s="12"/>
      <x:c r="O255" t="str">
        <x:v>No</x:v>
      </x:c>
      <x:c r="P255" t="str">
        <x:v>Standard</x:v>
      </x:c>
    </x:row>
    <x:row r="256">
      <x:c r="A256" t="str">
        <x:v>FIL-20260255</x:v>
      </x:c>
      <x:c r="B256" t="str">
        <x:v>NorthStar Compliance L.P.</x:v>
      </x:c>
      <x:c r="C256" t="str">
        <x:v>LP</x:v>
      </x:c>
      <x:c r="D256" t="str">
        <x:v>Maryland</x:v>
      </x:c>
      <x:c r="E256" t="str">
        <x:v>Limited Partnership Formation</x:v>
      </x:c>
      <x:c r="F256" t="str">
        <x:v>Mail</x:v>
      </x:c>
      <x:c r="G256" t="str">
        <x:v>Maryland Processing Team</x:v>
      </x:c>
      <x:c r="H256" t="str">
        <x:v>Processing</x:v>
      </x:c>
      <x:c r="I256" t="n">
        <x:v>1</x:v>
      </x:c>
      <x:c r="J256" t="n">
        <x:v>6</x:v>
      </x:c>
      <x:c r="K256" t="str">
        <x:f>IF(OR(H256="Pending",H256="Processing"),"Open",IF(I256&lt;=J256,"Yes","No"))</x:f>
        <x:v>Open</x:v>
      </x:c>
      <x:c r="L256" t="str"/>
      <x:c r="M256" s="12" t="n">
        <x:v>46091</x:v>
      </x:c>
      <x:c r="N256" s="12"/>
      <x:c r="O256" t="str">
        <x:v>No</x:v>
      </x:c>
      <x:c r="P256" t="str">
        <x:v>Standard</x:v>
      </x:c>
    </x:row>
    <x:row r="257">
      <x:c r="A257" t="str">
        <x:v>FIL-20260256</x:v>
      </x:c>
      <x:c r="B257" t="str">
        <x:v>Liberty Partners L.L.P.</x:v>
      </x:c>
      <x:c r="C257" t="str">
        <x:v>LLP</x:v>
      </x:c>
      <x:c r="D257" t="str">
        <x:v>Florida</x:v>
      </x:c>
      <x:c r="E257" t="str">
        <x:v>Merger Filing</x:v>
      </x:c>
      <x:c r="F257" t="str">
        <x:v>OTC</x:v>
      </x:c>
      <x:c r="G257" t="str">
        <x:v>Florida OTC Fulfillment</x:v>
      </x:c>
      <x:c r="H257" t="str">
        <x:v>Completed</x:v>
      </x:c>
      <x:c r="I257" t="n">
        <x:v>5</x:v>
      </x:c>
      <x:c r="J257" t="n">
        <x:v>3</x:v>
      </x:c>
      <x:c r="K257" t="str">
        <x:f>IF(OR(H257="Pending",H257="Processing"),"Open",IF(I257&lt;=J257,"Yes","No"))</x:f>
        <x:v>No</x:v>
      </x:c>
      <x:c r="L257" t="str"/>
      <x:c r="M257" s="12" t="n">
        <x:v>46125</x:v>
      </x:c>
      <x:c r="N257" s="12" t="n">
        <x:v>46130</x:v>
      </x:c>
      <x:c r="O257" t="str">
        <x:v>No</x:v>
      </x:c>
      <x:c r="P257" t="str">
        <x:v>Standard</x:v>
      </x:c>
    </x:row>
    <x:row r="258">
      <x:c r="A258" t="str">
        <x:v>FIL-20260257</x:v>
      </x:c>
      <x:c r="B258" t="str">
        <x:v>Oakmont Solutions L.L.C.</x:v>
      </x:c>
      <x:c r="C258" t="str">
        <x:v>LLC</x:v>
      </x:c>
      <x:c r="D258" t="str">
        <x:v>Maryland</x:v>
      </x:c>
      <x:c r="E258" t="str">
        <x:v>Foreign LLC Qualification</x:v>
      </x:c>
      <x:c r="F258" t="str">
        <x:v>Mail</x:v>
      </x:c>
      <x:c r="G258" t="str">
        <x:v>Maryland Processing Team</x:v>
      </x:c>
      <x:c r="H258" t="str">
        <x:v>Completed</x:v>
      </x:c>
      <x:c r="I258" t="n">
        <x:v>5</x:v>
      </x:c>
      <x:c r="J258" t="n">
        <x:v>6</x:v>
      </x:c>
      <x:c r="K258" t="str">
        <x:f>IF(OR(H258="Pending",H258="Processing"),"Open",IF(I258&lt;=J258,"Yes","No"))</x:f>
        <x:v>Yes</x:v>
      </x:c>
      <x:c r="L258" t="str"/>
      <x:c r="M258" s="12" t="n">
        <x:v>46031</x:v>
      </x:c>
      <x:c r="N258" s="12" t="n">
        <x:v>46036</x:v>
      </x:c>
      <x:c r="O258" t="str">
        <x:v>No</x:v>
      </x:c>
      <x:c r="P258" t="str">
        <x:v>High</x:v>
      </x:c>
    </x:row>
    <x:row r="259">
      <x:c r="A259" t="str">
        <x:v>FIL-20260258</x:v>
      </x:c>
      <x:c r="B259" t="str">
        <x:v>NorthStar Services L.L.C.</x:v>
      </x:c>
      <x:c r="C259" t="str">
        <x:v>LLC</x:v>
      </x:c>
      <x:c r="D259" t="str">
        <x:v>North Carolina</x:v>
      </x:c>
      <x:c r="E259" t="str">
        <x:v>LLC Formation</x:v>
      </x:c>
      <x:c r="F259" t="str">
        <x:v>Mail</x:v>
      </x:c>
      <x:c r="G259" t="str">
        <x:v>North Carolina Processing Team</x:v>
      </x:c>
      <x:c r="H259" t="str">
        <x:v>Processing</x:v>
      </x:c>
      <x:c r="I259" t="n">
        <x:v>2</x:v>
      </x:c>
      <x:c r="J259" t="n">
        <x:v>6</x:v>
      </x:c>
      <x:c r="K259" t="str">
        <x:f>IF(OR(H259="Pending",H259="Processing"),"Open",IF(I259&lt;=J259,"Yes","No"))</x:f>
        <x:v>Open</x:v>
      </x:c>
      <x:c r="L259" t="str"/>
      <x:c r="M259" s="12" t="n">
        <x:v>46028</x:v>
      </x:c>
      <x:c r="N259" s="12"/>
      <x:c r="O259" t="str">
        <x:v>No</x:v>
      </x:c>
      <x:c r="P259" t="str">
        <x:v>Standard</x:v>
      </x:c>
    </x:row>
    <x:row r="260">
      <x:c r="A260" t="str">
        <x:v>FIL-20260259</x:v>
      </x:c>
      <x:c r="B260" t="str">
        <x:v>BrightPath Resources Corporation</x:v>
      </x:c>
      <x:c r="C260" t="str">
        <x:v>Profit Corporation</x:v>
      </x:c>
      <x:c r="D260" t="str">
        <x:v>Washington D.C.</x:v>
      </x:c>
      <x:c r="E260" t="str">
        <x:v>Principal Address Update</x:v>
      </x:c>
      <x:c r="F260" t="str">
        <x:v>Mail</x:v>
      </x:c>
      <x:c r="G260" t="str">
        <x:v>DC Compliance Team</x:v>
      </x:c>
      <x:c r="H260" t="str">
        <x:v>Completed</x:v>
      </x:c>
      <x:c r="I260" t="n">
        <x:v>4</x:v>
      </x:c>
      <x:c r="J260" t="n">
        <x:v>5</x:v>
      </x:c>
      <x:c r="K260" t="str">
        <x:f>IF(OR(H260="Pending",H260="Processing"),"Open",IF(I260&lt;=J260,"Yes","No"))</x:f>
        <x:v>Yes</x:v>
      </x:c>
      <x:c r="L260" t="str"/>
      <x:c r="M260" s="12" t="n">
        <x:v>46182</x:v>
      </x:c>
      <x:c r="N260" s="12" t="n">
        <x:v>46186</x:v>
      </x:c>
      <x:c r="O260" t="str">
        <x:v>Yes</x:v>
      </x:c>
      <x:c r="P260" t="str">
        <x:v>Standard</x:v>
      </x:c>
    </x:row>
    <x:row r="261">
      <x:c r="A261" t="str">
        <x:v>FIL-20260260</x:v>
      </x:c>
      <x:c r="B261" t="str">
        <x:v>BrightPath Solutions Corp.</x:v>
      </x:c>
      <x:c r="C261" t="str">
        <x:v>Profit Corporation</x:v>
      </x:c>
      <x:c r="D261" t="str">
        <x:v>Virginia</x:v>
      </x:c>
      <x:c r="E261" t="str">
        <x:v>Corporation Dissolution</x:v>
      </x:c>
      <x:c r="F261" t="str">
        <x:v>Mail</x:v>
      </x:c>
      <x:c r="G261" t="str">
        <x:v>Virginia Processing Team</x:v>
      </x:c>
      <x:c r="H261" t="str">
        <x:v>Completed</x:v>
      </x:c>
      <x:c r="I261" t="n">
        <x:v>8</x:v>
      </x:c>
      <x:c r="J261" t="n">
        <x:v>6</x:v>
      </x:c>
      <x:c r="K261" t="str">
        <x:f>IF(OR(H261="Pending",H261="Processing"),"Open",IF(I261&lt;=J261,"Yes","No"))</x:f>
        <x:v>No</x:v>
      </x:c>
      <x:c r="L261" t="str"/>
      <x:c r="M261" s="12" t="n">
        <x:v>46118</x:v>
      </x:c>
      <x:c r="N261" s="12" t="n">
        <x:v>46126</x:v>
      </x:c>
      <x:c r="O261" t="str">
        <x:v>No</x:v>
      </x:c>
      <x:c r="P261" t="str">
        <x:v>Standard</x:v>
      </x:c>
    </x:row>
    <x:row r="262">
      <x:c r="A262" t="str">
        <x:v>FIL-20260261</x:v>
      </x:c>
      <x:c r="B262" t="str">
        <x:v>Crescent Systems L.P.</x:v>
      </x:c>
      <x:c r="C262" t="str">
        <x:v>LP</x:v>
      </x:c>
      <x:c r="D262" t="str">
        <x:v>North Carolina</x:v>
      </x:c>
      <x:c r="E262" t="str">
        <x:v>Foreign LP Qualification</x:v>
      </x:c>
      <x:c r="F262" t="str">
        <x:v>Online</x:v>
      </x:c>
      <x:c r="G262" t="str">
        <x:v>North Carolina Processing Team</x:v>
      </x:c>
      <x:c r="H262" t="str">
        <x:v>Completed</x:v>
      </x:c>
      <x:c r="I262" t="n">
        <x:v>7</x:v>
      </x:c>
      <x:c r="J262" t="n">
        <x:v>4</x:v>
      </x:c>
      <x:c r="K262" t="str">
        <x:f>IF(OR(H262="Pending",H262="Processing"),"Open",IF(I262&lt;=J262,"Yes","No"))</x:f>
        <x:v>No</x:v>
      </x:c>
      <x:c r="L262" t="str"/>
      <x:c r="M262" s="12" t="n">
        <x:v>46093</x:v>
      </x:c>
      <x:c r="N262" s="12" t="n">
        <x:v>46100</x:v>
      </x:c>
      <x:c r="O262" t="str">
        <x:v>No</x:v>
      </x:c>
      <x:c r="P262" t="str">
        <x:v>Standard</x:v>
      </x:c>
    </x:row>
    <x:row r="263">
      <x:c r="A263" t="str">
        <x:v>FIL-20260262</x:v>
      </x:c>
      <x:c r="B263" t="str">
        <x:v>Blue Ridge Partners Association Inc.</x:v>
      </x:c>
      <x:c r="C263" t="str">
        <x:v>Nonprofit Corporation</x:v>
      </x:c>
      <x:c r="D263" t="str">
        <x:v>Florida</x:v>
      </x:c>
      <x:c r="E263" t="str">
        <x:v>Certificate of Status Request</x:v>
      </x:c>
      <x:c r="F263" t="str">
        <x:v>Online</x:v>
      </x:c>
      <x:c r="G263" t="str">
        <x:v>Florida Online Fulfillment</x:v>
      </x:c>
      <x:c r="H263" t="str">
        <x:v>Completed</x:v>
      </x:c>
      <x:c r="I263" t="n">
        <x:v>1</x:v>
      </x:c>
      <x:c r="J263" t="n">
        <x:v>3</x:v>
      </x:c>
      <x:c r="K263" t="str">
        <x:f>IF(OR(H263="Pending",H263="Processing"),"Open",IF(I263&lt;=J263,"Yes","No"))</x:f>
        <x:v>Yes</x:v>
      </x:c>
      <x:c r="L263" t="str"/>
      <x:c r="M263" s="12" t="n">
        <x:v>46045</x:v>
      </x:c>
      <x:c r="N263" s="12" t="n">
        <x:v>46046</x:v>
      </x:c>
      <x:c r="O263" t="str">
        <x:v>No</x:v>
      </x:c>
      <x:c r="P263" t="str">
        <x:v>Urgent</x:v>
      </x:c>
    </x:row>
    <x:row r="264">
      <x:c r="A264" t="str">
        <x:v>FIL-20260263</x:v>
      </x:c>
      <x:c r="B264" t="str">
        <x:v>Sunrise Group Association Inc.</x:v>
      </x:c>
      <x:c r="C264" t="str">
        <x:v>Nonprofit Corporation</x:v>
      </x:c>
      <x:c r="D264" t="str">
        <x:v>Florida</x:v>
      </x:c>
      <x:c r="E264" t="str">
        <x:v>Nonprofit Amendment</x:v>
      </x:c>
      <x:c r="F264" t="str">
        <x:v>OTC</x:v>
      </x:c>
      <x:c r="G264" t="str">
        <x:v>Florida OTC Fulfillment</x:v>
      </x:c>
      <x:c r="H264" t="str">
        <x:v>Processing</x:v>
      </x:c>
      <x:c r="I264" t="n">
        <x:v>6</x:v>
      </x:c>
      <x:c r="J264" t="n">
        <x:v>3</x:v>
      </x:c>
      <x:c r="K264" t="str">
        <x:f>IF(OR(H264="Pending",H264="Processing"),"Open",IF(I264&lt;=J264,"Yes","No"))</x:f>
        <x:v>Open</x:v>
      </x:c>
      <x:c r="L264" t="str"/>
      <x:c r="M264" s="12" t="n">
        <x:v>46062</x:v>
      </x:c>
      <x:c r="N264" s="12"/>
      <x:c r="O264" t="str">
        <x:v>No</x:v>
      </x:c>
      <x:c r="P264" t="str">
        <x:v>Standard</x:v>
      </x:c>
    </x:row>
    <x:row r="265">
      <x:c r="A265" t="str">
        <x:v>FIL-20260264</x:v>
      </x:c>
      <x:c r="B265" t="str">
        <x:v>Crescent Partners LLC</x:v>
      </x:c>
      <x:c r="C265" t="str">
        <x:v>LLC</x:v>
      </x:c>
      <x:c r="D265" t="str">
        <x:v>Florida</x:v>
      </x:c>
      <x:c r="E265" t="str">
        <x:v>LLC Formation</x:v>
      </x:c>
      <x:c r="F265" t="str">
        <x:v>OTC</x:v>
      </x:c>
      <x:c r="G265" t="str">
        <x:v>Florida OTC Fulfillment</x:v>
      </x:c>
      <x:c r="H265" t="str">
        <x:v>Completed</x:v>
      </x:c>
      <x:c r="I265" t="n">
        <x:v>5</x:v>
      </x:c>
      <x:c r="J265" t="n">
        <x:v>3</x:v>
      </x:c>
      <x:c r="K265" t="str">
        <x:f>IF(OR(H265="Pending",H265="Processing"),"Open",IF(I265&lt;=J265,"Yes","No"))</x:f>
        <x:v>No</x:v>
      </x:c>
      <x:c r="L265" t="str"/>
      <x:c r="M265" s="12" t="n">
        <x:v>46171</x:v>
      </x:c>
      <x:c r="N265" s="12" t="n">
        <x:v>46176</x:v>
      </x:c>
      <x:c r="O265" t="str">
        <x:v>No</x:v>
      </x:c>
      <x:c r="P265" t="str">
        <x:v>Standard</x:v>
      </x:c>
    </x:row>
    <x:row r="266">
      <x:c r="A266" t="str">
        <x:v>FIL-20260265</x:v>
      </x:c>
      <x:c r="B266" t="str">
        <x:v>Golden Coast Group Corporation</x:v>
      </x:c>
      <x:c r="C266" t="str">
        <x:v>Profit Corporation</x:v>
      </x:c>
      <x:c r="D266" t="str">
        <x:v>Florida</x:v>
      </x:c>
      <x:c r="E266" t="str">
        <x:v>Corporation Amendment</x:v>
      </x:c>
      <x:c r="F266" t="str">
        <x:v>OTC</x:v>
      </x:c>
      <x:c r="G266" t="str">
        <x:v>Florida OTC Fulfillment</x:v>
      </x:c>
      <x:c r="H266" t="str">
        <x:v>Processing</x:v>
      </x:c>
      <x:c r="I266" t="n">
        <x:v>6</x:v>
      </x:c>
      <x:c r="J266" t="n">
        <x:v>3</x:v>
      </x:c>
      <x:c r="K266" t="str">
        <x:f>IF(OR(H266="Pending",H266="Processing"),"Open",IF(I266&lt;=J266,"Yes","No"))</x:f>
        <x:v>Open</x:v>
      </x:c>
      <x:c r="L266" t="str"/>
      <x:c r="M266" s="12" t="n">
        <x:v>46055</x:v>
      </x:c>
      <x:c r="N266" s="12"/>
      <x:c r="O266" t="str">
        <x:v>No</x:v>
      </x:c>
      <x:c r="P266" t="str">
        <x:v>Standard</x:v>
      </x:c>
    </x:row>
    <x:row r="267">
      <x:c r="A267" t="str">
        <x:v>FIL-20260266</x:v>
      </x:c>
      <x:c r="B267" t="str">
        <x:v>Horizon Systems</x:v>
      </x:c>
      <x:c r="C267" t="str">
        <x:v>Fictitious Name</x:v>
      </x:c>
      <x:c r="D267" t="str">
        <x:v>Maryland</x:v>
      </x:c>
      <x:c r="E267" t="str">
        <x:v>Fictitious Name Renewal</x:v>
      </x:c>
      <x:c r="F267" t="str">
        <x:v>Mail</x:v>
      </x:c>
      <x:c r="G267" t="str">
        <x:v>Maryland Processing Team</x:v>
      </x:c>
      <x:c r="H267" t="str">
        <x:v>Pending</x:v>
      </x:c>
      <x:c r="I267" t="n">
        <x:v>1</x:v>
      </x:c>
      <x:c r="J267" t="n">
        <x:v>6</x:v>
      </x:c>
      <x:c r="K267" t="str">
        <x:f>IF(OR(H267="Pending",H267="Processing"),"Open",IF(I267&lt;=J267,"Yes","No"))</x:f>
        <x:v>Open</x:v>
      </x:c>
      <x:c r="L267" t="str"/>
      <x:c r="M267" s="12" t="n">
        <x:v>46135</x:v>
      </x:c>
      <x:c r="N267" s="12"/>
      <x:c r="O267" t="str">
        <x:v>No</x:v>
      </x:c>
      <x:c r="P267" t="str">
        <x:v>High</x:v>
      </x:c>
    </x:row>
    <x:row r="268">
      <x:c r="A268" t="str">
        <x:v>FIL-20260267</x:v>
      </x:c>
      <x:c r="B268" t="str">
        <x:v>NorthStar Resources L.L.C.</x:v>
      </x:c>
      <x:c r="C268" t="str">
        <x:v>LLC</x:v>
      </x:c>
      <x:c r="D268" t="str">
        <x:v>Florida</x:v>
      </x:c>
      <x:c r="E268" t="str">
        <x:v>LLC Formation</x:v>
      </x:c>
      <x:c r="F268" t="str">
        <x:v>Online</x:v>
      </x:c>
      <x:c r="G268" t="str">
        <x:v>Florida Online Fulfillment</x:v>
      </x:c>
      <x:c r="H268" t="str">
        <x:v>Completed</x:v>
      </x:c>
      <x:c r="I268" t="n">
        <x:v>1</x:v>
      </x:c>
      <x:c r="J268" t="n">
        <x:v>3</x:v>
      </x:c>
      <x:c r="K268" t="str">
        <x:f>IF(OR(H268="Pending",H268="Processing"),"Open",IF(I268&lt;=J268,"Yes","No"))</x:f>
        <x:v>Yes</x:v>
      </x:c>
      <x:c r="L268" t="str"/>
      <x:c r="M268" s="12" t="n">
        <x:v>46041</x:v>
      </x:c>
      <x:c r="N268" s="12" t="n">
        <x:v>46042</x:v>
      </x:c>
      <x:c r="O268" t="str">
        <x:v>No</x:v>
      </x:c>
      <x:c r="P268" t="str">
        <x:v>Standard</x:v>
      </x:c>
    </x:row>
    <x:row r="269">
      <x:c r="A269" t="str">
        <x:v>FIL-20260268</x:v>
      </x:c>
      <x:c r="B269" t="str">
        <x:v>Harbor Advisors</x:v>
      </x:c>
      <x:c r="C269" t="str">
        <x:v>Fictitious Name</x:v>
      </x:c>
      <x:c r="D269" t="str">
        <x:v>Maryland</x:v>
      </x:c>
      <x:c r="E269" t="str">
        <x:v>Fictitious Name Renewal</x:v>
      </x:c>
      <x:c r="F269" t="str">
        <x:v>Online</x:v>
      </x:c>
      <x:c r="G269" t="str">
        <x:v>Maryland Processing Team</x:v>
      </x:c>
      <x:c r="H269" t="str">
        <x:v>Completed</x:v>
      </x:c>
      <x:c r="I269" t="n">
        <x:v>2</x:v>
      </x:c>
      <x:c r="J269" t="n">
        <x:v>4</x:v>
      </x:c>
      <x:c r="K269" t="str">
        <x:f>IF(OR(H269="Pending",H269="Processing"),"Open",IF(I269&lt;=J269,"Yes","No"))</x:f>
        <x:v>Yes</x:v>
      </x:c>
      <x:c r="L269" t="str"/>
      <x:c r="M269" s="12" t="n">
        <x:v>46137</x:v>
      </x:c>
      <x:c r="N269" s="12" t="n">
        <x:v>46139</x:v>
      </x:c>
      <x:c r="O269" t="str">
        <x:v>No</x:v>
      </x:c>
      <x:c r="P269" t="str">
        <x:v>High</x:v>
      </x:c>
    </x:row>
    <x:row r="270">
      <x:c r="A270" t="str">
        <x:v>FIL-20260269</x:v>
      </x:c>
      <x:c r="B270" t="str">
        <x:v>Metro Services LLC</x:v>
      </x:c>
      <x:c r="C270" t="str">
        <x:v>LLC</x:v>
      </x:c>
      <x:c r="D270" t="str">
        <x:v>Florida</x:v>
      </x:c>
      <x:c r="E270" t="str">
        <x:v>Foreign LLC Qualification</x:v>
      </x:c>
      <x:c r="F270" t="str">
        <x:v>Online</x:v>
      </x:c>
      <x:c r="G270" t="str">
        <x:v>Florida Online Fulfillment</x:v>
      </x:c>
      <x:c r="H270" t="str">
        <x:v>Processing</x:v>
      </x:c>
      <x:c r="I270" t="n">
        <x:v>0</x:v>
      </x:c>
      <x:c r="J270" t="n">
        <x:v>3</x:v>
      </x:c>
      <x:c r="K270" t="str">
        <x:f>IF(OR(H270="Pending",H270="Processing"),"Open",IF(I270&lt;=J270,"Yes","No"))</x:f>
        <x:v>Open</x:v>
      </x:c>
      <x:c r="L270" t="str"/>
      <x:c r="M270" s="12" t="n">
        <x:v>46162</x:v>
      </x:c>
      <x:c r="N270" s="12"/>
      <x:c r="O270" t="str">
        <x:v>No</x:v>
      </x:c>
      <x:c r="P270" t="str">
        <x:v>Standard</x:v>
      </x:c>
    </x:row>
    <x:row r="271">
      <x:c r="A271" t="str">
        <x:v>FIL-20260270</x:v>
      </x:c>
      <x:c r="B271" t="str">
        <x:v>Sterling Resources L.P.</x:v>
      </x:c>
      <x:c r="C271" t="str">
        <x:v>LP</x:v>
      </x:c>
      <x:c r="D271" t="str">
        <x:v>New York</x:v>
      </x:c>
      <x:c r="E271" t="str">
        <x:v>Merger Filing</x:v>
      </x:c>
      <x:c r="F271" t="str">
        <x:v>Online</x:v>
      </x:c>
      <x:c r="G271" t="str">
        <x:v>Northeast Processing Team</x:v>
      </x:c>
      <x:c r="H271" t="str">
        <x:v>Completed</x:v>
      </x:c>
      <x:c r="I271" t="n">
        <x:v>9</x:v>
      </x:c>
      <x:c r="J271" t="n">
        <x:v>5</x:v>
      </x:c>
      <x:c r="K271" t="str">
        <x:f>IF(OR(H271="Pending",H271="Processing"),"Open",IF(I271&lt;=J271,"Yes","No"))</x:f>
        <x:v>No</x:v>
      </x:c>
      <x:c r="L271" t="str"/>
      <x:c r="M271" s="12" t="n">
        <x:v>46175</x:v>
      </x:c>
      <x:c r="N271" s="12" t="n">
        <x:v>46184</x:v>
      </x:c>
      <x:c r="O271" t="str">
        <x:v>Yes</x:v>
      </x:c>
      <x:c r="P271" t="str">
        <x:v>Standard</x:v>
      </x:c>
    </x:row>
    <x:row r="272">
      <x:c r="A272" t="str">
        <x:v>FIL-20260271</x:v>
      </x:c>
      <x:c r="B272" t="str">
        <x:v>Summit Technologies Corporation</x:v>
      </x:c>
      <x:c r="C272" t="str">
        <x:v>Profit Corporation</x:v>
      </x:c>
      <x:c r="D272" t="str">
        <x:v>Texas</x:v>
      </x:c>
      <x:c r="E272" t="str">
        <x:v>Corporation Amendment</x:v>
      </x:c>
      <x:c r="F272" t="str">
        <x:v>Online</x:v>
      </x:c>
      <x:c r="G272" t="str">
        <x:v>Texas Filing Operations</x:v>
      </x:c>
      <x:c r="H272" t="str">
        <x:v>Completed</x:v>
      </x:c>
      <x:c r="I272" t="n">
        <x:v>8</x:v>
      </x:c>
      <x:c r="J272" t="n">
        <x:v>4</x:v>
      </x:c>
      <x:c r="K272" t="str">
        <x:f>IF(OR(H272="Pending",H272="Processing"),"Open",IF(I272&lt;=J272,"Yes","No"))</x:f>
        <x:v>No</x:v>
      </x:c>
      <x:c r="L272" t="str"/>
      <x:c r="M272" s="12" t="n">
        <x:v>46029</x:v>
      </x:c>
      <x:c r="N272" s="12" t="n">
        <x:v>46037</x:v>
      </x:c>
      <x:c r="O272" t="str">
        <x:v>No</x:v>
      </x:c>
      <x:c r="P272" t="str">
        <x:v>Standard</x:v>
      </x:c>
    </x:row>
    <x:row r="273">
      <x:c r="A273" t="str">
        <x:v>FIL-20260272</x:v>
      </x:c>
      <x:c r="B273" t="str">
        <x:v>Blue Ridge Group Association Inc.</x:v>
      </x:c>
      <x:c r="C273" t="str">
        <x:v>Nonprofit Corporation</x:v>
      </x:c>
      <x:c r="D273" t="str">
        <x:v>California</x:v>
      </x:c>
      <x:c r="E273" t="str">
        <x:v>Certificate of Status Request</x:v>
      </x:c>
      <x:c r="F273" t="str">
        <x:v>Online</x:v>
      </x:c>
      <x:c r="G273" t="str">
        <x:v>West Coast Processing Team</x:v>
      </x:c>
      <x:c r="H273" t="str">
        <x:v>Processing</x:v>
      </x:c>
      <x:c r="I273" t="n">
        <x:v>4</x:v>
      </x:c>
      <x:c r="J273" t="n">
        <x:v>5</x:v>
      </x:c>
      <x:c r="K273" t="str">
        <x:f>IF(OR(H273="Pending",H273="Processing"),"Open",IF(I273&lt;=J273,"Yes","No"))</x:f>
        <x:v>Open</x:v>
      </x:c>
      <x:c r="L273" t="str"/>
      <x:c r="M273" s="12" t="n">
        <x:v>46176</x:v>
      </x:c>
      <x:c r="N273" s="12"/>
      <x:c r="O273" t="str">
        <x:v>No</x:v>
      </x:c>
      <x:c r="P273" t="str">
        <x:v>Standard</x:v>
      </x:c>
    </x:row>
    <x:row r="274">
      <x:c r="A274" t="str">
        <x:v>FIL-20260273</x:v>
      </x:c>
      <x:c r="B274" t="str">
        <x:v>Pioneer Compliance Foundation Inc.</x:v>
      </x:c>
      <x:c r="C274" t="str">
        <x:v>Nonprofit Corporation</x:v>
      </x:c>
      <x:c r="D274" t="str">
        <x:v>California</x:v>
      </x:c>
      <x:c r="E274" t="str">
        <x:v>Principal Address Update</x:v>
      </x:c>
      <x:c r="F274" t="str">
        <x:v>Mail</x:v>
      </x:c>
      <x:c r="G274" t="str">
        <x:v>West Coast Processing Team</x:v>
      </x:c>
      <x:c r="H274" t="str">
        <x:v>Pending</x:v>
      </x:c>
      <x:c r="I274" t="n">
        <x:v>3</x:v>
      </x:c>
      <x:c r="J274" t="n">
        <x:v>7</x:v>
      </x:c>
      <x:c r="K274" t="str">
        <x:f>IF(OR(H274="Pending",H274="Processing"),"Open",IF(I274&lt;=J274,"Yes","No"))</x:f>
        <x:v>Open</x:v>
      </x:c>
      <x:c r="L274" t="str"/>
      <x:c r="M274" s="12" t="n">
        <x:v>46114</x:v>
      </x:c>
      <x:c r="N274" s="12"/>
      <x:c r="O274" t="str">
        <x:v>No</x:v>
      </x:c>
      <x:c r="P274" t="str">
        <x:v>High</x:v>
      </x:c>
    </x:row>
    <x:row r="275">
      <x:c r="A275" t="str">
        <x:v>FIL-20260274</x:v>
      </x:c>
      <x:c r="B275" t="str">
        <x:v>Atlantic Logistics L.L.C.</x:v>
      </x:c>
      <x:c r="C275" t="str">
        <x:v>LLC</x:v>
      </x:c>
      <x:c r="D275" t="str">
        <x:v>Florida</x:v>
      </x:c>
      <x:c r="E275" t="str">
        <x:v>Foreign LLC Qualification</x:v>
      </x:c>
      <x:c r="F275" t="str">
        <x:v>OTC</x:v>
      </x:c>
      <x:c r="G275" t="str">
        <x:v>Florida OTC Fulfillment</x:v>
      </x:c>
      <x:c r="H275" t="str">
        <x:v>Completed</x:v>
      </x:c>
      <x:c r="I275" t="n">
        <x:v>6</x:v>
      </x:c>
      <x:c r="J275" t="n">
        <x:v>3</x:v>
      </x:c>
      <x:c r="K275" t="str">
        <x:f>IF(OR(H275="Pending",H275="Processing"),"Open",IF(I275&lt;=J275,"Yes","No"))</x:f>
        <x:v>No</x:v>
      </x:c>
      <x:c r="L275" t="str"/>
      <x:c r="M275" s="12" t="n">
        <x:v>46140</x:v>
      </x:c>
      <x:c r="N275" s="12" t="n">
        <x:v>46146</x:v>
      </x:c>
      <x:c r="O275" t="str">
        <x:v>No</x:v>
      </x:c>
      <x:c r="P275" t="str">
        <x:v>Standard</x:v>
      </x:c>
    </x:row>
    <x:row r="276">
      <x:c r="A276" t="str">
        <x:v>FIL-20260275</x:v>
      </x:c>
      <x:c r="B276" t="str">
        <x:v>Capital Analytics Corp.</x:v>
      </x:c>
      <x:c r="C276" t="str">
        <x:v>Profit Corporation</x:v>
      </x:c>
      <x:c r="D276" t="str">
        <x:v>Georgia</x:v>
      </x:c>
      <x:c r="E276" t="str">
        <x:v>Corporation Dissolution</x:v>
      </x:c>
      <x:c r="F276" t="str">
        <x:v>Online</x:v>
      </x:c>
      <x:c r="G276" t="str">
        <x:v>Southeast Processing Team</x:v>
      </x:c>
      <x:c r="H276" t="str">
        <x:v>Returned</x:v>
      </x:c>
      <x:c r="I276" t="n">
        <x:v>8</x:v>
      </x:c>
      <x:c r="J276" t="n">
        <x:v>4</x:v>
      </x:c>
      <x:c r="K276" t="str">
        <x:f>IF(OR(H276="Pending",H276="Processing"),"Open",IF(I276&lt;=J276,"Yes","No"))</x:f>
        <x:v>No</x:v>
      </x:c>
      <x:c r="L276" t="str">
        <x:v>Incorrect Form Version</x:v>
      </x:c>
      <x:c r="M276" s="12" t="n">
        <x:v>46156</x:v>
      </x:c>
      <x:c r="N276" s="12"/>
      <x:c r="O276" t="str">
        <x:v>No</x:v>
      </x:c>
      <x:c r="P276" t="str">
        <x:v>Standard</x:v>
      </x:c>
    </x:row>
    <x:row r="277">
      <x:c r="A277" t="str">
        <x:v>FIL-20260276</x:v>
      </x:c>
      <x:c r="B277" t="str">
        <x:v>Crescent Technologies LP</x:v>
      </x:c>
      <x:c r="C277" t="str">
        <x:v>LP</x:v>
      </x:c>
      <x:c r="D277" t="str">
        <x:v>Washington D.C.</x:v>
      </x:c>
      <x:c r="E277" t="str">
        <x:v>Name Change Amendment</x:v>
      </x:c>
      <x:c r="F277" t="str">
        <x:v>Expedited</x:v>
      </x:c>
      <x:c r="G277" t="str">
        <x:v>DC Compliance Team</x:v>
      </x:c>
      <x:c r="H277" t="str">
        <x:v>Completed</x:v>
      </x:c>
      <x:c r="I277" t="n">
        <x:v>4</x:v>
      </x:c>
      <x:c r="J277" t="n">
        <x:v>1</x:v>
      </x:c>
      <x:c r="K277" t="str">
        <x:f>IF(OR(H277="Pending",H277="Processing"),"Open",IF(I277&lt;=J277,"Yes","No"))</x:f>
        <x:v>No</x:v>
      </x:c>
      <x:c r="L277" t="str"/>
      <x:c r="M277" s="12" t="n">
        <x:v>46174</x:v>
      </x:c>
      <x:c r="N277" s="12" t="n">
        <x:v>46178</x:v>
      </x:c>
      <x:c r="O277" t="str">
        <x:v>Yes</x:v>
      </x:c>
      <x:c r="P277" t="str">
        <x:v>Standard</x:v>
      </x:c>
    </x:row>
    <x:row r="278">
      <x:c r="A278" t="str">
        <x:v>FIL-20260277</x:v>
      </x:c>
      <x:c r="B278" t="str">
        <x:v>Harbor Analytics</x:v>
      </x:c>
      <x:c r="C278" t="str">
        <x:v>Fictitious Name</x:v>
      </x:c>
      <x:c r="D278" t="str">
        <x:v>Florida</x:v>
      </x:c>
      <x:c r="E278" t="str">
        <x:v>Fictitious Name Renewal</x:v>
      </x:c>
      <x:c r="F278" t="str">
        <x:v>OTC</x:v>
      </x:c>
      <x:c r="G278" t="str">
        <x:v>Florida OTC Fulfillment</x:v>
      </x:c>
      <x:c r="H278" t="str">
        <x:v>Returned</x:v>
      </x:c>
      <x:c r="I278" t="n">
        <x:v>2</x:v>
      </x:c>
      <x:c r="J278" t="n">
        <x:v>3</x:v>
      </x:c>
      <x:c r="K278" t="str">
        <x:f>IF(OR(H278="Pending",H278="Processing"),"Open",IF(I278&lt;=J278,"Yes","No"))</x:f>
        <x:v>Yes</x:v>
      </x:c>
      <x:c r="L278" t="str">
        <x:v>Name Not Available</x:v>
      </x:c>
      <x:c r="M278" s="12" t="n">
        <x:v>46079</x:v>
      </x:c>
      <x:c r="N278" s="12"/>
      <x:c r="O278" t="str">
        <x:v>No</x:v>
      </x:c>
      <x:c r="P278" t="str">
        <x:v>Standard</x:v>
      </x:c>
    </x:row>
    <x:row r="279">
      <x:c r="A279" t="str">
        <x:v>FIL-20260278</x:v>
      </x:c>
      <x:c r="B279" t="str">
        <x:v>Liberty Studios</x:v>
      </x:c>
      <x:c r="C279" t="str">
        <x:v>Fictitious Name</x:v>
      </x:c>
      <x:c r="D279" t="str">
        <x:v>Texas</x:v>
      </x:c>
      <x:c r="E279" t="str">
        <x:v>Fictitious Name Registration</x:v>
      </x:c>
      <x:c r="F279" t="str">
        <x:v>Mail</x:v>
      </x:c>
      <x:c r="G279" t="str">
        <x:v>Texas Filing Operations</x:v>
      </x:c>
      <x:c r="H279" t="str">
        <x:v>Completed</x:v>
      </x:c>
      <x:c r="I279" t="n">
        <x:v>10</x:v>
      </x:c>
      <x:c r="J279" t="n">
        <x:v>6</x:v>
      </x:c>
      <x:c r="K279" t="str">
        <x:f>IF(OR(H279="Pending",H279="Processing"),"Open",IF(I279&lt;=J279,"Yes","No"))</x:f>
        <x:v>No</x:v>
      </x:c>
      <x:c r="L279" t="str"/>
      <x:c r="M279" s="12" t="n">
        <x:v>46168</x:v>
      </x:c>
      <x:c r="N279" s="12" t="n">
        <x:v>46178</x:v>
      </x:c>
      <x:c r="O279" t="str">
        <x:v>No</x:v>
      </x:c>
      <x:c r="P279" t="str">
        <x:v>Standard</x:v>
      </x:c>
    </x:row>
    <x:row r="280">
      <x:c r="A280" t="str">
        <x:v>FIL-20260279</x:v>
      </x:c>
      <x:c r="B280" t="str">
        <x:v>Golden Coast Holdings</x:v>
      </x:c>
      <x:c r="C280" t="str">
        <x:v>Fictitious Name</x:v>
      </x:c>
      <x:c r="D280" t="str">
        <x:v>Washington D.C.</x:v>
      </x:c>
      <x:c r="E280" t="str">
        <x:v>Fictitious Name Registration</x:v>
      </x:c>
      <x:c r="F280" t="str">
        <x:v>Online</x:v>
      </x:c>
      <x:c r="G280" t="str">
        <x:v>DC Compliance Team</x:v>
      </x:c>
      <x:c r="H280" t="str">
        <x:v>Completed</x:v>
      </x:c>
      <x:c r="I280" t="n">
        <x:v>1</x:v>
      </x:c>
      <x:c r="J280" t="n">
        <x:v>3</x:v>
      </x:c>
      <x:c r="K280" t="str">
        <x:f>IF(OR(H280="Pending",H280="Processing"),"Open",IF(I280&lt;=J280,"Yes","No"))</x:f>
        <x:v>Yes</x:v>
      </x:c>
      <x:c r="L280" t="str"/>
      <x:c r="M280" s="12" t="n">
        <x:v>46159</x:v>
      </x:c>
      <x:c r="N280" s="12" t="n">
        <x:v>46160</x:v>
      </x:c>
      <x:c r="O280" t="str">
        <x:v>Yes</x:v>
      </x:c>
      <x:c r="P280" t="str">
        <x:v>Standard</x:v>
      </x:c>
    </x:row>
    <x:row r="281">
      <x:c r="A281" t="str">
        <x:v>FIL-20260280</x:v>
      </x:c>
      <x:c r="B281" t="str">
        <x:v>NorthStar Partners L.L.C.</x:v>
      </x:c>
      <x:c r="C281" t="str">
        <x:v>LLC</x:v>
      </x:c>
      <x:c r="D281" t="str">
        <x:v>Washington D.C.</x:v>
      </x:c>
      <x:c r="E281" t="str">
        <x:v>LLC Amendment</x:v>
      </x:c>
      <x:c r="F281" t="str">
        <x:v>Mail</x:v>
      </x:c>
      <x:c r="G281" t="str">
        <x:v>DC Compliance Team</x:v>
      </x:c>
      <x:c r="H281" t="str">
        <x:v>Rejected</x:v>
      </x:c>
      <x:c r="I281" t="n">
        <x:v>8</x:v>
      </x:c>
      <x:c r="J281" t="n">
        <x:v>5</x:v>
      </x:c>
      <x:c r="K281" t="str">
        <x:f>IF(OR(H281="Pending",H281="Processing"),"Open",IF(I281&lt;=J281,"Yes","No"))</x:f>
        <x:v>No</x:v>
      </x:c>
      <x:c r="L281" t="str">
        <x:v>Incorrect Suffix</x:v>
      </x:c>
      <x:c r="M281" s="12" t="n">
        <x:v>46123</x:v>
      </x:c>
      <x:c r="N281" s="12"/>
      <x:c r="O281" t="str">
        <x:v>Yes</x:v>
      </x:c>
      <x:c r="P281" t="str">
        <x:v>Standard</x:v>
      </x:c>
    </x:row>
    <x:row r="282">
      <x:c r="A282" t="str">
        <x:v>FIL-20260281</x:v>
      </x:c>
      <x:c r="B282" t="str">
        <x:v>Crescent Ventures LLC</x:v>
      </x:c>
      <x:c r="C282" t="str">
        <x:v>LLC</x:v>
      </x:c>
      <x:c r="D282" t="str">
        <x:v>Florida</x:v>
      </x:c>
      <x:c r="E282" t="str">
        <x:v>Foreign LLC Qualification</x:v>
      </x:c>
      <x:c r="F282" t="str">
        <x:v>OTC</x:v>
      </x:c>
      <x:c r="G282" t="str">
        <x:v>Florida OTC Fulfillment</x:v>
      </x:c>
      <x:c r="H282" t="str">
        <x:v>Completed</x:v>
      </x:c>
      <x:c r="I282" t="n">
        <x:v>4</x:v>
      </x:c>
      <x:c r="J282" t="n">
        <x:v>3</x:v>
      </x:c>
      <x:c r="K282" t="str">
        <x:f>IF(OR(H282="Pending",H282="Processing"),"Open",IF(I282&lt;=J282,"Yes","No"))</x:f>
        <x:v>No</x:v>
      </x:c>
      <x:c r="L282" t="str"/>
      <x:c r="M282" s="12" t="n">
        <x:v>46130</x:v>
      </x:c>
      <x:c r="N282" s="12" t="n">
        <x:v>46134</x:v>
      </x:c>
      <x:c r="O282" t="str">
        <x:v>No</x:v>
      </x:c>
      <x:c r="P282" t="str">
        <x:v>Standard</x:v>
      </x:c>
    </x:row>
    <x:row r="283">
      <x:c r="A283" t="str">
        <x:v>FIL-20260282</x:v>
      </x:c>
      <x:c r="B283" t="str">
        <x:v>Crescent Group Corporation</x:v>
      </x:c>
      <x:c r="C283" t="str">
        <x:v>Profit Corporation</x:v>
      </x:c>
      <x:c r="D283" t="str">
        <x:v>Delaware</x:v>
      </x:c>
      <x:c r="E283" t="str">
        <x:v>Corporation Amendment</x:v>
      </x:c>
      <x:c r="F283" t="str">
        <x:v>Mail</x:v>
      </x:c>
      <x:c r="G283" t="str">
        <x:v>Delaware Processing Team</x:v>
      </x:c>
      <x:c r="H283" t="str">
        <x:v>Completed</x:v>
      </x:c>
      <x:c r="I283" t="n">
        <x:v>7</x:v>
      </x:c>
      <x:c r="J283" t="n">
        <x:v>4</x:v>
      </x:c>
      <x:c r="K283" t="str">
        <x:f>IF(OR(H283="Pending",H283="Processing"),"Open",IF(I283&lt;=J283,"Yes","No"))</x:f>
        <x:v>No</x:v>
      </x:c>
      <x:c r="L283" t="str"/>
      <x:c r="M283" s="12" t="n">
        <x:v>46105</x:v>
      </x:c>
      <x:c r="N283" s="12" t="n">
        <x:v>46112</x:v>
      </x:c>
      <x:c r="O283" t="str">
        <x:v>Yes</x:v>
      </x:c>
      <x:c r="P283" t="str">
        <x:v>Standard</x:v>
      </x:c>
    </x:row>
    <x:row r="284">
      <x:c r="A284" t="str">
        <x:v>FIL-20260283</x:v>
      </x:c>
      <x:c r="B284" t="str">
        <x:v>Sterling Solutions Corp.</x:v>
      </x:c>
      <x:c r="C284" t="str">
        <x:v>Profit Corporation</x:v>
      </x:c>
      <x:c r="D284" t="str">
        <x:v>North Carolina</x:v>
      </x:c>
      <x:c r="E284" t="str">
        <x:v>Foreign Corporation Qualification</x:v>
      </x:c>
      <x:c r="F284" t="str">
        <x:v>Online</x:v>
      </x:c>
      <x:c r="G284" t="str">
        <x:v>North Carolina Processing Team</x:v>
      </x:c>
      <x:c r="H284" t="str">
        <x:v>Completed</x:v>
      </x:c>
      <x:c r="I284" t="n">
        <x:v>2</x:v>
      </x:c>
      <x:c r="J284" t="n">
        <x:v>4</x:v>
      </x:c>
      <x:c r="K284" t="str">
        <x:f>IF(OR(H284="Pending",H284="Processing"),"Open",IF(I284&lt;=J284,"Yes","No"))</x:f>
        <x:v>Yes</x:v>
      </x:c>
      <x:c r="L284" t="str"/>
      <x:c r="M284" s="12" t="n">
        <x:v>46062</x:v>
      </x:c>
      <x:c r="N284" s="12" t="n">
        <x:v>46064</x:v>
      </x:c>
      <x:c r="O284" t="str">
        <x:v>No</x:v>
      </x:c>
      <x:c r="P284" t="str">
        <x:v>Urgent</x:v>
      </x:c>
    </x:row>
    <x:row r="285">
      <x:c r="A285" t="str">
        <x:v>FIL-20260284</x:v>
      </x:c>
      <x:c r="B285" t="str">
        <x:v>Evergreen Studios LLP</x:v>
      </x:c>
      <x:c r="C285" t="str">
        <x:v>LLP</x:v>
      </x:c>
      <x:c r="D285" t="str">
        <x:v>Florida</x:v>
      </x:c>
      <x:c r="E285" t="str">
        <x:v>Annual Report</x:v>
      </x:c>
      <x:c r="F285" t="str">
        <x:v>Online</x:v>
      </x:c>
      <x:c r="G285" t="str">
        <x:v>Florida Online Fulfillment</x:v>
      </x:c>
      <x:c r="H285" t="str">
        <x:v>Completed</x:v>
      </x:c>
      <x:c r="I285" t="n">
        <x:v>5</x:v>
      </x:c>
      <x:c r="J285" t="n">
        <x:v>3</x:v>
      </x:c>
      <x:c r="K285" t="str">
        <x:f>IF(OR(H285="Pending",H285="Processing"),"Open",IF(I285&lt;=J285,"Yes","No"))</x:f>
        <x:v>No</x:v>
      </x:c>
      <x:c r="L285" t="str"/>
      <x:c r="M285" s="12" t="n">
        <x:v>46114</x:v>
      </x:c>
      <x:c r="N285" s="12" t="n">
        <x:v>46119</x:v>
      </x:c>
      <x:c r="O285" t="str">
        <x:v>No</x:v>
      </x:c>
      <x:c r="P285" t="str">
        <x:v>Standard</x:v>
      </x:c>
    </x:row>
    <x:row r="286">
      <x:c r="A286" t="str">
        <x:v>FIL-20260285</x:v>
      </x:c>
      <x:c r="B286" t="str">
        <x:v>Pioneer Group Institute Inc.</x:v>
      </x:c>
      <x:c r="C286" t="str">
        <x:v>Nonprofit Corporation</x:v>
      </x:c>
      <x:c r="D286" t="str">
        <x:v>Florida</x:v>
      </x:c>
      <x:c r="E286" t="str">
        <x:v>Statement of Domestication</x:v>
      </x:c>
      <x:c r="F286" t="str">
        <x:v>Online</x:v>
      </x:c>
      <x:c r="G286" t="str">
        <x:v>Florida Online Fulfillment</x:v>
      </x:c>
      <x:c r="H286" t="str">
        <x:v>Rejected</x:v>
      </x:c>
      <x:c r="I286" t="n">
        <x:v>5</x:v>
      </x:c>
      <x:c r="J286" t="n">
        <x:v>3</x:v>
      </x:c>
      <x:c r="K286" t="str">
        <x:f>IF(OR(H286="Pending",H286="Processing"),"Open",IF(I286&lt;=J286,"Yes","No"))</x:f>
        <x:v>No</x:v>
      </x:c>
      <x:c r="L286" t="str">
        <x:v>Name Not Available</x:v>
      </x:c>
      <x:c r="M286" s="12" t="n">
        <x:v>46144</x:v>
      </x:c>
      <x:c r="N286" s="12"/>
      <x:c r="O286" t="str">
        <x:v>No</x:v>
      </x:c>
      <x:c r="P286" t="str">
        <x:v>Standard</x:v>
      </x:c>
    </x:row>
    <x:row r="287">
      <x:c r="A287" t="str">
        <x:v>FIL-20260286</x:v>
      </x:c>
      <x:c r="B287" t="str">
        <x:v>Sterling Partners LP</x:v>
      </x:c>
      <x:c r="C287" t="str">
        <x:v>LP</x:v>
      </x:c>
      <x:c r="D287" t="str">
        <x:v>Texas</x:v>
      </x:c>
      <x:c r="E287" t="str">
        <x:v>Statement of Domestication</x:v>
      </x:c>
      <x:c r="F287" t="str">
        <x:v>Online</x:v>
      </x:c>
      <x:c r="G287" t="str">
        <x:v>Texas Filing Operations</x:v>
      </x:c>
      <x:c r="H287" t="str">
        <x:v>Completed</x:v>
      </x:c>
      <x:c r="I287" t="n">
        <x:v>1</x:v>
      </x:c>
      <x:c r="J287" t="n">
        <x:v>4</x:v>
      </x:c>
      <x:c r="K287" t="str">
        <x:f>IF(OR(H287="Pending",H287="Processing"),"Open",IF(I287&lt;=J287,"Yes","No"))</x:f>
        <x:v>Yes</x:v>
      </x:c>
      <x:c r="L287" t="str"/>
      <x:c r="M287" s="12" t="n">
        <x:v>46191</x:v>
      </x:c>
      <x:c r="N287" s="12" t="n">
        <x:v>46192</x:v>
      </x:c>
      <x:c r="O287" t="str">
        <x:v>No</x:v>
      </x:c>
      <x:c r="P287" t="str">
        <x:v>High</x:v>
      </x:c>
    </x:row>
    <x:row r="288">
      <x:c r="A288" t="str">
        <x:v>FIL-20260287</x:v>
      </x:c>
      <x:c r="B288" t="str">
        <x:v>Legacy Healthcare LLC</x:v>
      </x:c>
      <x:c r="C288" t="str">
        <x:v>LLC</x:v>
      </x:c>
      <x:c r="D288" t="str">
        <x:v>Washington D.C.</x:v>
      </x:c>
      <x:c r="E288" t="str">
        <x:v>Reinstatement</x:v>
      </x:c>
      <x:c r="F288" t="str">
        <x:v>Expedited</x:v>
      </x:c>
      <x:c r="G288" t="str">
        <x:v>DC Compliance Team</x:v>
      </x:c>
      <x:c r="H288" t="str">
        <x:v>Rejected</x:v>
      </x:c>
      <x:c r="I288" t="n">
        <x:v>5</x:v>
      </x:c>
      <x:c r="J288" t="n">
        <x:v>1</x:v>
      </x:c>
      <x:c r="K288" t="str">
        <x:f>IF(OR(H288="Pending",H288="Processing"),"Open",IF(I288&lt;=J288,"Yes","No"))</x:f>
        <x:v>No</x:v>
      </x:c>
      <x:c r="L288" t="str">
        <x:v>Incorrect Form Version</x:v>
      </x:c>
      <x:c r="M288" s="12" t="n">
        <x:v>46189</x:v>
      </x:c>
      <x:c r="N288" s="12"/>
      <x:c r="O288" t="str">
        <x:v>Yes</x:v>
      </x:c>
      <x:c r="P288" t="str">
        <x:v>Standard</x:v>
      </x:c>
    </x:row>
    <x:row r="289">
      <x:c r="A289" t="str">
        <x:v>FIL-20260288</x:v>
      </x:c>
      <x:c r="B289" t="str">
        <x:v>Legacy Studios Inc.</x:v>
      </x:c>
      <x:c r="C289" t="str">
        <x:v>Profit Corporation</x:v>
      </x:c>
      <x:c r="D289" t="str">
        <x:v>Florida</x:v>
      </x:c>
      <x:c r="E289" t="str">
        <x:v>Conversion Filing</x:v>
      </x:c>
      <x:c r="F289" t="str">
        <x:v>OTC</x:v>
      </x:c>
      <x:c r="G289" t="str">
        <x:v>Florida OTC Fulfillment</x:v>
      </x:c>
      <x:c r="H289" t="str">
        <x:v>Completed</x:v>
      </x:c>
      <x:c r="I289" t="n">
        <x:v>6</x:v>
      </x:c>
      <x:c r="J289" t="n">
        <x:v>3</x:v>
      </x:c>
      <x:c r="K289" t="str">
        <x:f>IF(OR(H289="Pending",H289="Processing"),"Open",IF(I289&lt;=J289,"Yes","No"))</x:f>
        <x:v>No</x:v>
      </x:c>
      <x:c r="L289" t="str"/>
      <x:c r="M289" s="12" t="n">
        <x:v>46065</x:v>
      </x:c>
      <x:c r="N289" s="12" t="n">
        <x:v>46071</x:v>
      </x:c>
      <x:c r="O289" t="str">
        <x:v>No</x:v>
      </x:c>
      <x:c r="P289" t="str">
        <x:v>High</x:v>
      </x:c>
    </x:row>
    <x:row r="290">
      <x:c r="A290" t="str">
        <x:v>FIL-20260289</x:v>
      </x:c>
      <x:c r="B290" t="str">
        <x:v>Atlantic Healthcare Corp.</x:v>
      </x:c>
      <x:c r="C290" t="str">
        <x:v>Profit Corporation</x:v>
      </x:c>
      <x:c r="D290" t="str">
        <x:v>Texas</x:v>
      </x:c>
      <x:c r="E290" t="str">
        <x:v>Profit Corporation Formation</x:v>
      </x:c>
      <x:c r="F290" t="str">
        <x:v>Online</x:v>
      </x:c>
      <x:c r="G290" t="str">
        <x:v>Texas Filing Operations</x:v>
      </x:c>
      <x:c r="H290" t="str">
        <x:v>Completed</x:v>
      </x:c>
      <x:c r="I290" t="n">
        <x:v>8</x:v>
      </x:c>
      <x:c r="J290" t="n">
        <x:v>4</x:v>
      </x:c>
      <x:c r="K290" t="str">
        <x:f>IF(OR(H290="Pending",H290="Processing"),"Open",IF(I290&lt;=J290,"Yes","No"))</x:f>
        <x:v>No</x:v>
      </x:c>
      <x:c r="L290" t="str"/>
      <x:c r="M290" s="12" t="n">
        <x:v>46024</x:v>
      </x:c>
      <x:c r="N290" s="12" t="n">
        <x:v>46032</x:v>
      </x:c>
      <x:c r="O290" t="str">
        <x:v>No</x:v>
      </x:c>
      <x:c r="P290" t="str">
        <x:v>High</x:v>
      </x:c>
    </x:row>
    <x:row r="291">
      <x:c r="A291" t="str">
        <x:v>FIL-20260290</x:v>
      </x:c>
      <x:c r="B291" t="str">
        <x:v>Harbor Compliance Corp.</x:v>
      </x:c>
      <x:c r="C291" t="str">
        <x:v>Profit Corporation</x:v>
      </x:c>
      <x:c r="D291" t="str">
        <x:v>Florida</x:v>
      </x:c>
      <x:c r="E291" t="str">
        <x:v>Conversion Filing</x:v>
      </x:c>
      <x:c r="F291" t="str">
        <x:v>Online</x:v>
      </x:c>
      <x:c r="G291" t="str">
        <x:v>Florida Online Fulfillment</x:v>
      </x:c>
      <x:c r="H291" t="str">
        <x:v>Completed</x:v>
      </x:c>
      <x:c r="I291" t="n">
        <x:v>6</x:v>
      </x:c>
      <x:c r="J291" t="n">
        <x:v>3</x:v>
      </x:c>
      <x:c r="K291" t="str">
        <x:f>IF(OR(H291="Pending",H291="Processing"),"Open",IF(I291&lt;=J291,"Yes","No"))</x:f>
        <x:v>No</x:v>
      </x:c>
      <x:c r="L291" t="str"/>
      <x:c r="M291" s="12" t="n">
        <x:v>46084</x:v>
      </x:c>
      <x:c r="N291" s="12" t="n">
        <x:v>46090</x:v>
      </x:c>
      <x:c r="O291" t="str">
        <x:v>No</x:v>
      </x:c>
      <x:c r="P291" t="str">
        <x:v>Standard</x:v>
      </x:c>
    </x:row>
    <x:row r="292">
      <x:c r="A292" t="str">
        <x:v>FIL-20260291</x:v>
      </x:c>
      <x:c r="B292" t="str">
        <x:v>Sterling Advisors PLLC</x:v>
      </x:c>
      <x:c r="C292" t="str">
        <x:v>PLLC</x:v>
      </x:c>
      <x:c r="D292" t="str">
        <x:v>Florida</x:v>
      </x:c>
      <x:c r="E292" t="str">
        <x:v>Conversion Filing</x:v>
      </x:c>
      <x:c r="F292" t="str">
        <x:v>OTC</x:v>
      </x:c>
      <x:c r="G292" t="str">
        <x:v>Florida OTC Fulfillment</x:v>
      </x:c>
      <x:c r="H292" t="str">
        <x:v>Completed</x:v>
      </x:c>
      <x:c r="I292" t="n">
        <x:v>1</x:v>
      </x:c>
      <x:c r="J292" t="n">
        <x:v>3</x:v>
      </x:c>
      <x:c r="K292" t="str">
        <x:f>IF(OR(H292="Pending",H292="Processing"),"Open",IF(I292&lt;=J292,"Yes","No"))</x:f>
        <x:v>Yes</x:v>
      </x:c>
      <x:c r="L292" t="str"/>
      <x:c r="M292" s="12" t="n">
        <x:v>46118</x:v>
      </x:c>
      <x:c r="N292" s="12" t="n">
        <x:v>46119</x:v>
      </x:c>
      <x:c r="O292" t="str">
        <x:v>No</x:v>
      </x:c>
      <x:c r="P292" t="str">
        <x:v>Standard</x:v>
      </x:c>
    </x:row>
    <x:row r="293">
      <x:c r="A293" t="str">
        <x:v>FIL-20260292</x:v>
      </x:c>
      <x:c r="B293" t="str">
        <x:v>Blue Ridge Enterprises</x:v>
      </x:c>
      <x:c r="C293" t="str">
        <x:v>Fictitious Name</x:v>
      </x:c>
      <x:c r="D293" t="str">
        <x:v>Delaware</x:v>
      </x:c>
      <x:c r="E293" t="str">
        <x:v>Fictitious Name Registration</x:v>
      </x:c>
      <x:c r="F293" t="str">
        <x:v>Online</x:v>
      </x:c>
      <x:c r="G293" t="str">
        <x:v>Delaware Processing Team</x:v>
      </x:c>
      <x:c r="H293" t="str">
        <x:v>Completed</x:v>
      </x:c>
      <x:c r="I293" t="n">
        <x:v>2</x:v>
      </x:c>
      <x:c r="J293" t="n">
        <x:v>2</x:v>
      </x:c>
      <x:c r="K293" t="str">
        <x:f>IF(OR(H293="Pending",H293="Processing"),"Open",IF(I293&lt;=J293,"Yes","No"))</x:f>
        <x:v>Yes</x:v>
      </x:c>
      <x:c r="L293" t="str"/>
      <x:c r="M293" s="12" t="n">
        <x:v>46168</x:v>
      </x:c>
      <x:c r="N293" s="12" t="n">
        <x:v>46170</x:v>
      </x:c>
      <x:c r="O293" t="str">
        <x:v>Yes</x:v>
      </x:c>
      <x:c r="P293" t="str">
        <x:v>Standard</x:v>
      </x:c>
    </x:row>
    <x:row r="294">
      <x:c r="A294" t="str">
        <x:v>FIL-20260293</x:v>
      </x:c>
      <x:c r="B294" t="str">
        <x:v>NorthStar Group L.L.C.</x:v>
      </x:c>
      <x:c r="C294" t="str">
        <x:v>LLC</x:v>
      </x:c>
      <x:c r="D294" t="str">
        <x:v>California</x:v>
      </x:c>
      <x:c r="E294" t="str">
        <x:v>LLC Formation</x:v>
      </x:c>
      <x:c r="F294" t="str">
        <x:v>Online</x:v>
      </x:c>
      <x:c r="G294" t="str">
        <x:v>West Coast Processing Team</x:v>
      </x:c>
      <x:c r="H294" t="str">
        <x:v>Completed</x:v>
      </x:c>
      <x:c r="I294" t="n">
        <x:v>9</x:v>
      </x:c>
      <x:c r="J294" t="n">
        <x:v>5</x:v>
      </x:c>
      <x:c r="K294" t="str">
        <x:f>IF(OR(H294="Pending",H294="Processing"),"Open",IF(I294&lt;=J294,"Yes","No"))</x:f>
        <x:v>No</x:v>
      </x:c>
      <x:c r="L294" t="str"/>
      <x:c r="M294" s="12" t="n">
        <x:v>46113</x:v>
      </x:c>
      <x:c r="N294" s="12" t="n">
        <x:v>46122</x:v>
      </x:c>
      <x:c r="O294" t="str">
        <x:v>No</x:v>
      </x:c>
      <x:c r="P294" t="str">
        <x:v>Standard</x:v>
      </x:c>
    </x:row>
    <x:row r="295">
      <x:c r="A295" t="str">
        <x:v>FIL-20260294</x:v>
      </x:c>
      <x:c r="B295" t="str">
        <x:v>Pioneer Logistics LP</x:v>
      </x:c>
      <x:c r="C295" t="str">
        <x:v>LP</x:v>
      </x:c>
      <x:c r="D295" t="str">
        <x:v>North Carolina</x:v>
      </x:c>
      <x:c r="E295" t="str">
        <x:v>Foreign LP Qualification</x:v>
      </x:c>
      <x:c r="F295" t="str">
        <x:v>Mail</x:v>
      </x:c>
      <x:c r="G295" t="str">
        <x:v>North Carolina Processing Team</x:v>
      </x:c>
      <x:c r="H295" t="str">
        <x:v>Completed</x:v>
      </x:c>
      <x:c r="I295" t="n">
        <x:v>9</x:v>
      </x:c>
      <x:c r="J295" t="n">
        <x:v>6</x:v>
      </x:c>
      <x:c r="K295" t="str">
        <x:f>IF(OR(H295="Pending",H295="Processing"),"Open",IF(I295&lt;=J295,"Yes","No"))</x:f>
        <x:v>No</x:v>
      </x:c>
      <x:c r="L295" t="str"/>
      <x:c r="M295" s="12" t="n">
        <x:v>46110</x:v>
      </x:c>
      <x:c r="N295" s="12" t="n">
        <x:v>46119</x:v>
      </x:c>
      <x:c r="O295" t="str">
        <x:v>No</x:v>
      </x:c>
      <x:c r="P295" t="str">
        <x:v>Standard</x:v>
      </x:c>
    </x:row>
    <x:row r="296">
      <x:c r="A296" t="str">
        <x:v>FIL-20260295</x:v>
      </x:c>
      <x:c r="B296" t="str">
        <x:v>Harbor Partners P.L.L.C.</x:v>
      </x:c>
      <x:c r="C296" t="str">
        <x:v>PLLC</x:v>
      </x:c>
      <x:c r="D296" t="str">
        <x:v>North Carolina</x:v>
      </x:c>
      <x:c r="E296" t="str">
        <x:v>Merger Filing</x:v>
      </x:c>
      <x:c r="F296" t="str">
        <x:v>Mail</x:v>
      </x:c>
      <x:c r="G296" t="str">
        <x:v>North Carolina Processing Team</x:v>
      </x:c>
      <x:c r="H296" t="str">
        <x:v>Completed</x:v>
      </x:c>
      <x:c r="I296" t="n">
        <x:v>3</x:v>
      </x:c>
      <x:c r="J296" t="n">
        <x:v>6</x:v>
      </x:c>
      <x:c r="K296" t="str">
        <x:f>IF(OR(H296="Pending",H296="Processing"),"Open",IF(I296&lt;=J296,"Yes","No"))</x:f>
        <x:v>Yes</x:v>
      </x:c>
      <x:c r="L296" t="str"/>
      <x:c r="M296" s="12" t="n">
        <x:v>46063</x:v>
      </x:c>
      <x:c r="N296" s="12" t="n">
        <x:v>46066</x:v>
      </x:c>
      <x:c r="O296" t="str">
        <x:v>No</x:v>
      </x:c>
      <x:c r="P296" t="str">
        <x:v>Standard</x:v>
      </x:c>
    </x:row>
    <x:row r="297">
      <x:c r="A297" t="str">
        <x:v>FIL-20260296</x:v>
      </x:c>
      <x:c r="B297" t="str">
        <x:v>Liberty Management LLC</x:v>
      </x:c>
      <x:c r="C297" t="str">
        <x:v>LLC</x:v>
      </x:c>
      <x:c r="D297" t="str">
        <x:v>North Carolina</x:v>
      </x:c>
      <x:c r="E297" t="str">
        <x:v>Reinstatement</x:v>
      </x:c>
      <x:c r="F297" t="str">
        <x:v>Online</x:v>
      </x:c>
      <x:c r="G297" t="str">
        <x:v>North Carolina Processing Team</x:v>
      </x:c>
      <x:c r="H297" t="str">
        <x:v>Completed</x:v>
      </x:c>
      <x:c r="I297" t="n">
        <x:v>3</x:v>
      </x:c>
      <x:c r="J297" t="n">
        <x:v>4</x:v>
      </x:c>
      <x:c r="K297" t="str">
        <x:f>IF(OR(H297="Pending",H297="Processing"),"Open",IF(I297&lt;=J297,"Yes","No"))</x:f>
        <x:v>Yes</x:v>
      </x:c>
      <x:c r="L297" t="str"/>
      <x:c r="M297" s="12" t="n">
        <x:v>46176</x:v>
      </x:c>
      <x:c r="N297" s="12" t="n">
        <x:v>46179</x:v>
      </x:c>
      <x:c r="O297" t="str">
        <x:v>No</x:v>
      </x:c>
      <x:c r="P297" t="str">
        <x:v>Standard</x:v>
      </x:c>
    </x:row>
    <x:row r="298">
      <x:c r="A298" t="str">
        <x:v>FIL-20260297</x:v>
      </x:c>
      <x:c r="B298" t="str">
        <x:v>BrightPath Services Foundation Inc.</x:v>
      </x:c>
      <x:c r="C298" t="str">
        <x:v>Nonprofit Corporation</x:v>
      </x:c>
      <x:c r="D298" t="str">
        <x:v>California</x:v>
      </x:c>
      <x:c r="E298" t="str">
        <x:v>Nonprofit Corporation Formation</x:v>
      </x:c>
      <x:c r="F298" t="str">
        <x:v>Mail</x:v>
      </x:c>
      <x:c r="G298" t="str">
        <x:v>West Coast Processing Team</x:v>
      </x:c>
      <x:c r="H298" t="str">
        <x:v>Completed</x:v>
      </x:c>
      <x:c r="I298" t="n">
        <x:v>5</x:v>
      </x:c>
      <x:c r="J298" t="n">
        <x:v>7</x:v>
      </x:c>
      <x:c r="K298" t="str">
        <x:f>IF(OR(H298="Pending",H298="Processing"),"Open",IF(I298&lt;=J298,"Yes","No"))</x:f>
        <x:v>Yes</x:v>
      </x:c>
      <x:c r="L298" t="str"/>
      <x:c r="M298" s="12" t="n">
        <x:v>46090</x:v>
      </x:c>
      <x:c r="N298" s="12" t="n">
        <x:v>46095</x:v>
      </x:c>
      <x:c r="O298" t="str">
        <x:v>No</x:v>
      </x:c>
      <x:c r="P298" t="str">
        <x:v>High</x:v>
      </x:c>
    </x:row>
    <x:row r="299">
      <x:c r="A299" t="str">
        <x:v>FIL-20260298</x:v>
      </x:c>
      <x:c r="B299" t="str">
        <x:v>Atlantic Healthcare L.L.C.</x:v>
      </x:c>
      <x:c r="C299" t="str">
        <x:v>LLC</x:v>
      </x:c>
      <x:c r="D299" t="str">
        <x:v>Illinois</x:v>
      </x:c>
      <x:c r="E299" t="str">
        <x:v>LLC Amendment</x:v>
      </x:c>
      <x:c r="F299" t="str">
        <x:v>Mail</x:v>
      </x:c>
      <x:c r="G299" t="str">
        <x:v>Illinois Fulfillment Team</x:v>
      </x:c>
      <x:c r="H299" t="str">
        <x:v>Completed</x:v>
      </x:c>
      <x:c r="I299" t="n">
        <x:v>4</x:v>
      </x:c>
      <x:c r="J299" t="n">
        <x:v>6</x:v>
      </x:c>
      <x:c r="K299" t="str">
        <x:f>IF(OR(H299="Pending",H299="Processing"),"Open",IF(I299&lt;=J299,"Yes","No"))</x:f>
        <x:v>Yes</x:v>
      </x:c>
      <x:c r="L299" t="str"/>
      <x:c r="M299" s="12" t="n">
        <x:v>46067</x:v>
      </x:c>
      <x:c r="N299" s="12" t="n">
        <x:v>46071</x:v>
      </x:c>
      <x:c r="O299" t="str">
        <x:v>Yes</x:v>
      </x:c>
      <x:c r="P299" t="str">
        <x:v>Standard</x:v>
      </x:c>
    </x:row>
    <x:row r="300">
      <x:c r="A300" t="str">
        <x:v>FIL-20260299</x:v>
      </x:c>
      <x:c r="B300" t="str">
        <x:v>Atlantic Logistics LLP</x:v>
      </x:c>
      <x:c r="C300" t="str">
        <x:v>LLP</x:v>
      </x:c>
      <x:c r="D300" t="str">
        <x:v>Texas</x:v>
      </x:c>
      <x:c r="E300" t="str">
        <x:v>Certified Copy Request</x:v>
      </x:c>
      <x:c r="F300" t="str">
        <x:v>Mail</x:v>
      </x:c>
      <x:c r="G300" t="str">
        <x:v>Texas Filing Operations</x:v>
      </x:c>
      <x:c r="H300" t="str">
        <x:v>Completed</x:v>
      </x:c>
      <x:c r="I300" t="n">
        <x:v>9</x:v>
      </x:c>
      <x:c r="J300" t="n">
        <x:v>6</x:v>
      </x:c>
      <x:c r="K300" t="str">
        <x:f>IF(OR(H300="Pending",H300="Processing"),"Open",IF(I300&lt;=J300,"Yes","No"))</x:f>
        <x:v>No</x:v>
      </x:c>
      <x:c r="L300" t="str"/>
      <x:c r="M300" s="12" t="n">
        <x:v>46092</x:v>
      </x:c>
      <x:c r="N300" s="12" t="n">
        <x:v>46101</x:v>
      </x:c>
      <x:c r="O300" t="str">
        <x:v>No</x:v>
      </x:c>
      <x:c r="P300" t="str">
        <x:v>Standard</x:v>
      </x:c>
    </x:row>
    <x:row r="301">
      <x:c r="A301" t="str">
        <x:v>FIL-20260300</x:v>
      </x:c>
      <x:c r="B301" t="str">
        <x:v>Sunrise Management Foundation Inc.</x:v>
      </x:c>
      <x:c r="C301" t="str">
        <x:v>Nonprofit Corporation</x:v>
      </x:c>
      <x:c r="D301" t="str">
        <x:v>New York</x:v>
      </x:c>
      <x:c r="E301" t="str">
        <x:v>Principal Address Update</x:v>
      </x:c>
      <x:c r="F301" t="str">
        <x:v>Online</x:v>
      </x:c>
      <x:c r="G301" t="str">
        <x:v>Northeast Processing Team</x:v>
      </x:c>
      <x:c r="H301" t="str">
        <x:v>Completed</x:v>
      </x:c>
      <x:c r="I301" t="n">
        <x:v>8</x:v>
      </x:c>
      <x:c r="J301" t="n">
        <x:v>5</x:v>
      </x:c>
      <x:c r="K301" t="str">
        <x:f>IF(OR(H301="Pending",H301="Processing"),"Open",IF(I301&lt;=J301,"Yes","No"))</x:f>
        <x:v>No</x:v>
      </x:c>
      <x:c r="L301" t="str"/>
      <x:c r="M301" s="12" t="n">
        <x:v>46086</x:v>
      </x:c>
      <x:c r="N301" s="12" t="n">
        <x:v>46094</x:v>
      </x:c>
      <x:c r="O301" t="str">
        <x:v>Yes</x:v>
      </x:c>
      <x:c r="P301" t="str">
        <x:v>Standard</x:v>
      </x:c>
    </x:row>
    <x:row r="302">
      <x:c r="A302" t="str">
        <x:v>FIL-20260301</x:v>
      </x:c>
      <x:c r="B302" t="str">
        <x:v>Evergreen Group L.L.C.</x:v>
      </x:c>
      <x:c r="C302" t="str">
        <x:v>LLC</x:v>
      </x:c>
      <x:c r="D302" t="str">
        <x:v>Illinois</x:v>
      </x:c>
      <x:c r="E302" t="str">
        <x:v>LLC Amendment</x:v>
      </x:c>
      <x:c r="F302" t="str">
        <x:v>Online</x:v>
      </x:c>
      <x:c r="G302" t="str">
        <x:v>Illinois Online Fulfillment</x:v>
      </x:c>
      <x:c r="H302" t="str">
        <x:v>Pending</x:v>
      </x:c>
      <x:c r="I302" t="n">
        <x:v>4</x:v>
      </x:c>
      <x:c r="J302" t="n">
        <x:v>4</x:v>
      </x:c>
      <x:c r="K302" t="str">
        <x:f>IF(OR(H302="Pending",H302="Processing"),"Open",IF(I302&lt;=J302,"Yes","No"))</x:f>
        <x:v>Open</x:v>
      </x:c>
      <x:c r="L302" t="str"/>
      <x:c r="M302" s="12" t="n">
        <x:v>46170</x:v>
      </x:c>
      <x:c r="N302" s="12"/>
      <x:c r="O302" t="str">
        <x:v>Yes</x:v>
      </x:c>
      <x:c r="P302" t="str">
        <x:v>Standard</x:v>
      </x:c>
    </x:row>
    <x:row r="303">
      <x:c r="A303" t="str">
        <x:v>FIL-20260302</x:v>
      </x:c>
      <x:c r="B303" t="str">
        <x:v>Summit Solutions LLC</x:v>
      </x:c>
      <x:c r="C303" t="str">
        <x:v>LLC</x:v>
      </x:c>
      <x:c r="D303" t="str">
        <x:v>Florida</x:v>
      </x:c>
      <x:c r="E303" t="str">
        <x:v>Foreign LLC Qualification</x:v>
      </x:c>
      <x:c r="F303" t="str">
        <x:v>Online</x:v>
      </x:c>
      <x:c r="G303" t="str">
        <x:v>Florida Online Fulfillment</x:v>
      </x:c>
      <x:c r="H303" t="str">
        <x:v>Completed</x:v>
      </x:c>
      <x:c r="I303" t="n">
        <x:v>3</x:v>
      </x:c>
      <x:c r="J303" t="n">
        <x:v>3</x:v>
      </x:c>
      <x:c r="K303" t="str">
        <x:f>IF(OR(H303="Pending",H303="Processing"),"Open",IF(I303&lt;=J303,"Yes","No"))</x:f>
        <x:v>Yes</x:v>
      </x:c>
      <x:c r="L303" t="str"/>
      <x:c r="M303" s="12" t="n">
        <x:v>46048</x:v>
      </x:c>
      <x:c r="N303" s="12" t="n">
        <x:v>46051</x:v>
      </x:c>
      <x:c r="O303" t="str">
        <x:v>No</x:v>
      </x:c>
      <x:c r="P303" t="str">
        <x:v>Standard</x:v>
      </x:c>
    </x:row>
    <x:row r="304">
      <x:c r="A304" t="str">
        <x:v>FIL-20260303</x:v>
      </x:c>
      <x:c r="B304" t="str">
        <x:v>Liberty Properties P.L.L.C.</x:v>
      </x:c>
      <x:c r="C304" t="str">
        <x:v>PLLC</x:v>
      </x:c>
      <x:c r="D304" t="str">
        <x:v>Delaware</x:v>
      </x:c>
      <x:c r="E304" t="str">
        <x:v>Annual Report</x:v>
      </x:c>
      <x:c r="F304" t="str">
        <x:v>Online</x:v>
      </x:c>
      <x:c r="G304" t="str">
        <x:v>Delaware Processing Team</x:v>
      </x:c>
      <x:c r="H304" t="str">
        <x:v>Completed</x:v>
      </x:c>
      <x:c r="I304" t="n">
        <x:v>2</x:v>
      </x:c>
      <x:c r="J304" t="n">
        <x:v>2</x:v>
      </x:c>
      <x:c r="K304" t="str">
        <x:f>IF(OR(H304="Pending",H304="Processing"),"Open",IF(I304&lt;=J304,"Yes","No"))</x:f>
        <x:v>Yes</x:v>
      </x:c>
      <x:c r="L304" t="str"/>
      <x:c r="M304" s="12" t="n">
        <x:v>46185</x:v>
      </x:c>
      <x:c r="N304" s="12" t="n">
        <x:v>46187</x:v>
      </x:c>
      <x:c r="O304" t="str">
        <x:v>Yes</x:v>
      </x:c>
      <x:c r="P304" t="str">
        <x:v>High</x:v>
      </x:c>
    </x:row>
    <x:row r="305">
      <x:c r="A305" t="str">
        <x:v>FIL-20260304</x:v>
      </x:c>
      <x:c r="B305" t="str">
        <x:v>BrightPath Analytics L.L.C.</x:v>
      </x:c>
      <x:c r="C305" t="str">
        <x:v>LLC</x:v>
      </x:c>
      <x:c r="D305" t="str">
        <x:v>Illinois</x:v>
      </x:c>
      <x:c r="E305" t="str">
        <x:v>LLC Dissolution</x:v>
      </x:c>
      <x:c r="F305" t="str">
        <x:v>Expedited</x:v>
      </x:c>
      <x:c r="G305" t="str">
        <x:v>Illinois Fulfillment Team</x:v>
      </x:c>
      <x:c r="H305" t="str">
        <x:v>Completed</x:v>
      </x:c>
      <x:c r="I305" t="n">
        <x:v>1</x:v>
      </x:c>
      <x:c r="J305" t="n">
        <x:v>1</x:v>
      </x:c>
      <x:c r="K305" t="str">
        <x:f>IF(OR(H305="Pending",H305="Processing"),"Open",IF(I305&lt;=J305,"Yes","No"))</x:f>
        <x:v>Yes</x:v>
      </x:c>
      <x:c r="L305" t="str"/>
      <x:c r="M305" s="12" t="n">
        <x:v>46085</x:v>
      </x:c>
      <x:c r="N305" s="12" t="n">
        <x:v>46086</x:v>
      </x:c>
      <x:c r="O305" t="str">
        <x:v>Yes</x:v>
      </x:c>
      <x:c r="P305" t="str">
        <x:v>Urgent</x:v>
      </x:c>
    </x:row>
    <x:row r="306">
      <x:c r="A306" t="str">
        <x:v>FIL-20260305</x:v>
      </x:c>
      <x:c r="B306" t="str">
        <x:v>Crescent Systems Association Inc.</x:v>
      </x:c>
      <x:c r="C306" t="str">
        <x:v>Nonprofit Corporation</x:v>
      </x:c>
      <x:c r="D306" t="str">
        <x:v>New York</x:v>
      </x:c>
      <x:c r="E306" t="str">
        <x:v>Certified Copy Request</x:v>
      </x:c>
      <x:c r="F306" t="str">
        <x:v>Online</x:v>
      </x:c>
      <x:c r="G306" t="str">
        <x:v>Northeast Processing Team</x:v>
      </x:c>
      <x:c r="H306" t="str">
        <x:v>Completed</x:v>
      </x:c>
      <x:c r="I306" t="n">
        <x:v>3</x:v>
      </x:c>
      <x:c r="J306" t="n">
        <x:v>5</x:v>
      </x:c>
      <x:c r="K306" t="str">
        <x:f>IF(OR(H306="Pending",H306="Processing"),"Open",IF(I306&lt;=J306,"Yes","No"))</x:f>
        <x:v>Yes</x:v>
      </x:c>
      <x:c r="L306" t="str"/>
      <x:c r="M306" s="12" t="n">
        <x:v>46186</x:v>
      </x:c>
      <x:c r="N306" s="12" t="n">
        <x:v>46189</x:v>
      </x:c>
      <x:c r="O306" t="str">
        <x:v>Yes</x:v>
      </x:c>
      <x:c r="P306" t="str">
        <x:v>High</x:v>
      </x:c>
    </x:row>
    <x:row r="307">
      <x:c r="A307" t="str">
        <x:v>FIL-20260306</x:v>
      </x:c>
      <x:c r="B307" t="str">
        <x:v>Pioneer Enterprises Corp.</x:v>
      </x:c>
      <x:c r="C307" t="str">
        <x:v>Profit Corporation</x:v>
      </x:c>
      <x:c r="D307" t="str">
        <x:v>Georgia</x:v>
      </x:c>
      <x:c r="E307" t="str">
        <x:v>Corporation Amendment</x:v>
      </x:c>
      <x:c r="F307" t="str">
        <x:v>Online</x:v>
      </x:c>
      <x:c r="G307" t="str">
        <x:v>Southeast Processing Team</x:v>
      </x:c>
      <x:c r="H307" t="str">
        <x:v>Pending</x:v>
      </x:c>
      <x:c r="I307" t="n">
        <x:v>1</x:v>
      </x:c>
      <x:c r="J307" t="n">
        <x:v>4</x:v>
      </x:c>
      <x:c r="K307" t="str">
        <x:f>IF(OR(H307="Pending",H307="Processing"),"Open",IF(I307&lt;=J307,"Yes","No"))</x:f>
        <x:v>Open</x:v>
      </x:c>
      <x:c r="L307" t="str"/>
      <x:c r="M307" s="12" t="n">
        <x:v>46121</x:v>
      </x:c>
      <x:c r="N307" s="12"/>
      <x:c r="O307" t="str">
        <x:v>No</x:v>
      </x:c>
      <x:c r="P307" t="str">
        <x:v>Standard</x:v>
      </x:c>
    </x:row>
    <x:row r="308">
      <x:c r="A308" t="str">
        <x:v>FIL-20260307</x:v>
      </x:c>
      <x:c r="B308" t="str">
        <x:v>Sterling Enterprises Corp.</x:v>
      </x:c>
      <x:c r="C308" t="str">
        <x:v>Profit Corporation</x:v>
      </x:c>
      <x:c r="D308" t="str">
        <x:v>Delaware</x:v>
      </x:c>
      <x:c r="E308" t="str">
        <x:v>Certified Copy Request</x:v>
      </x:c>
      <x:c r="F308" t="str">
        <x:v>Online</x:v>
      </x:c>
      <x:c r="G308" t="str">
        <x:v>Delaware Processing Team</x:v>
      </x:c>
      <x:c r="H308" t="str">
        <x:v>Returned</x:v>
      </x:c>
      <x:c r="I308" t="n">
        <x:v>1</x:v>
      </x:c>
      <x:c r="J308" t="n">
        <x:v>2</x:v>
      </x:c>
      <x:c r="K308" t="str">
        <x:f>IF(OR(H308="Pending",H308="Processing"),"Open",IF(I308&lt;=J308,"Yes","No"))</x:f>
        <x:v>Yes</x:v>
      </x:c>
      <x:c r="L308" t="str">
        <x:v>Unsigned Registered Agent Acceptance</x:v>
      </x:c>
      <x:c r="M308" s="12" t="n">
        <x:v>46181</x:v>
      </x:c>
      <x:c r="N308" s="12"/>
      <x:c r="O308" t="str">
        <x:v>Yes</x:v>
      </x:c>
      <x:c r="P308" t="str">
        <x:v>Standard</x:v>
      </x:c>
    </x:row>
    <x:row r="309">
      <x:c r="A309" t="str">
        <x:v>FIL-20260308</x:v>
      </x:c>
      <x:c r="B309" t="str">
        <x:v>NorthStar Development Corp.</x:v>
      </x:c>
      <x:c r="C309" t="str">
        <x:v>Profit Corporation</x:v>
      </x:c>
      <x:c r="D309" t="str">
        <x:v>California</x:v>
      </x:c>
      <x:c r="E309" t="str">
        <x:v>Foreign Corporation Qualification</x:v>
      </x:c>
      <x:c r="F309" t="str">
        <x:v>Mail</x:v>
      </x:c>
      <x:c r="G309" t="str">
        <x:v>West Coast Processing Team</x:v>
      </x:c>
      <x:c r="H309" t="str">
        <x:v>Pending</x:v>
      </x:c>
      <x:c r="I309" t="n">
        <x:v>6</x:v>
      </x:c>
      <x:c r="J309" t="n">
        <x:v>7</x:v>
      </x:c>
      <x:c r="K309" t="str">
        <x:f>IF(OR(H309="Pending",H309="Processing"),"Open",IF(I309&lt;=J309,"Yes","No"))</x:f>
        <x:v>Open</x:v>
      </x:c>
      <x:c r="L309" t="str"/>
      <x:c r="M309" s="12" t="n">
        <x:v>46039</x:v>
      </x:c>
      <x:c r="N309" s="12"/>
      <x:c r="O309" t="str">
        <x:v>No</x:v>
      </x:c>
      <x:c r="P309" t="str">
        <x:v>Standard</x:v>
      </x:c>
    </x:row>
    <x:row r="310">
      <x:c r="A310" t="str">
        <x:v>FIL-20260309</x:v>
      </x:c>
      <x:c r="B310" t="str">
        <x:v>Blue Ridge Management Inc.</x:v>
      </x:c>
      <x:c r="C310" t="str">
        <x:v>Profit Corporation</x:v>
      </x:c>
      <x:c r="D310" t="str">
        <x:v>California</x:v>
      </x:c>
      <x:c r="E310" t="str">
        <x:v>Foreign Corporation Qualification</x:v>
      </x:c>
      <x:c r="F310" t="str">
        <x:v>Mail</x:v>
      </x:c>
      <x:c r="G310" t="str">
        <x:v>West Coast Processing Team</x:v>
      </x:c>
      <x:c r="H310" t="str">
        <x:v>Completed</x:v>
      </x:c>
      <x:c r="I310" t="n">
        <x:v>3</x:v>
      </x:c>
      <x:c r="J310" t="n">
        <x:v>7</x:v>
      </x:c>
      <x:c r="K310" t="str">
        <x:f>IF(OR(H310="Pending",H310="Processing"),"Open",IF(I310&lt;=J310,"Yes","No"))</x:f>
        <x:v>Yes</x:v>
      </x:c>
      <x:c r="L310" t="str"/>
      <x:c r="M310" s="12" t="n">
        <x:v>46073</x:v>
      </x:c>
      <x:c r="N310" s="12" t="n">
        <x:v>46076</x:v>
      </x:c>
      <x:c r="O310" t="str">
        <x:v>No</x:v>
      </x:c>
      <x:c r="P310" t="str">
        <x:v>High</x:v>
      </x:c>
    </x:row>
    <x:row r="311">
      <x:c r="A311" t="str">
        <x:v>FIL-20260310</x:v>
      </x:c>
      <x:c r="B311" t="str">
        <x:v>Metro Healthcare Inc.</x:v>
      </x:c>
      <x:c r="C311" t="str">
        <x:v>Profit Corporation</x:v>
      </x:c>
      <x:c r="D311" t="str">
        <x:v>Florida</x:v>
      </x:c>
      <x:c r="E311" t="str">
        <x:v>Profit Corporation Formation</x:v>
      </x:c>
      <x:c r="F311" t="str">
        <x:v>Online</x:v>
      </x:c>
      <x:c r="G311" t="str">
        <x:v>Florida Online Fulfillment</x:v>
      </x:c>
      <x:c r="H311" t="str">
        <x:v>Completed</x:v>
      </x:c>
      <x:c r="I311" t="n">
        <x:v>1</x:v>
      </x:c>
      <x:c r="J311" t="n">
        <x:v>3</x:v>
      </x:c>
      <x:c r="K311" t="str">
        <x:f>IF(OR(H311="Pending",H311="Processing"),"Open",IF(I311&lt;=J311,"Yes","No"))</x:f>
        <x:v>Yes</x:v>
      </x:c>
      <x:c r="L311" t="str"/>
      <x:c r="M311" s="12" t="n">
        <x:v>46088</x:v>
      </x:c>
      <x:c r="N311" s="12" t="n">
        <x:v>46089</x:v>
      </x:c>
      <x:c r="O311" t="str">
        <x:v>No</x:v>
      </x:c>
      <x:c r="P311" t="str">
        <x:v>High</x:v>
      </x:c>
    </x:row>
    <x:row r="312">
      <x:c r="A312" t="str">
        <x:v>FIL-20260311</x:v>
      </x:c>
      <x:c r="B312" t="str">
        <x:v>Sunrise Studios LP</x:v>
      </x:c>
      <x:c r="C312" t="str">
        <x:v>LP</x:v>
      </x:c>
      <x:c r="D312" t="str">
        <x:v>Delaware</x:v>
      </x:c>
      <x:c r="E312" t="str">
        <x:v>Limited Partnership Formation</x:v>
      </x:c>
      <x:c r="F312" t="str">
        <x:v>Expedited</x:v>
      </x:c>
      <x:c r="G312" t="str">
        <x:v>Delaware Processing Team</x:v>
      </x:c>
      <x:c r="H312" t="str">
        <x:v>Completed</x:v>
      </x:c>
      <x:c r="I312" t="n">
        <x:v>5</x:v>
      </x:c>
      <x:c r="J312" t="n">
        <x:v>1</x:v>
      </x:c>
      <x:c r="K312" t="str">
        <x:f>IF(OR(H312="Pending",H312="Processing"),"Open",IF(I312&lt;=J312,"Yes","No"))</x:f>
        <x:v>No</x:v>
      </x:c>
      <x:c r="L312" t="str"/>
      <x:c r="M312" s="12" t="n">
        <x:v>46059</x:v>
      </x:c>
      <x:c r="N312" s="12" t="n">
        <x:v>46064</x:v>
      </x:c>
      <x:c r="O312" t="str">
        <x:v>Yes</x:v>
      </x:c>
      <x:c r="P312" t="str">
        <x:v>Standard</x:v>
      </x:c>
    </x:row>
    <x:row r="313">
      <x:c r="A313" t="str">
        <x:v>FIL-20260312</x:v>
      </x:c>
      <x:c r="B313" t="str">
        <x:v>Pioneer Studios L.L.P.</x:v>
      </x:c>
      <x:c r="C313" t="str">
        <x:v>LLP</x:v>
      </x:c>
      <x:c r="D313" t="str">
        <x:v>Texas</x:v>
      </x:c>
      <x:c r="E313" t="str">
        <x:v>Annual Report</x:v>
      </x:c>
      <x:c r="F313" t="str">
        <x:v>Mail</x:v>
      </x:c>
      <x:c r="G313" t="str">
        <x:v>Texas Filing Operations</x:v>
      </x:c>
      <x:c r="H313" t="str">
        <x:v>Returned</x:v>
      </x:c>
      <x:c r="I313" t="n">
        <x:v>4</x:v>
      </x:c>
      <x:c r="J313" t="n">
        <x:v>6</x:v>
      </x:c>
      <x:c r="K313" t="str">
        <x:f>IF(OR(H313="Pending",H313="Processing"),"Open",IF(I313&lt;=J313,"Yes","No"))</x:f>
        <x:v>Yes</x:v>
      </x:c>
      <x:c r="L313" t="str">
        <x:v>Missing Signature</x:v>
      </x:c>
      <x:c r="M313" s="12" t="n">
        <x:v>46136</x:v>
      </x:c>
      <x:c r="N313" s="12"/>
      <x:c r="O313" t="str">
        <x:v>No</x:v>
      </x:c>
      <x:c r="P313" t="str">
        <x:v>Standard</x:v>
      </x:c>
    </x:row>
    <x:row r="314">
      <x:c r="A314" t="str">
        <x:v>FIL-20260313</x:v>
      </x:c>
      <x:c r="B314" t="str">
        <x:v>Legacy Group L.P.</x:v>
      </x:c>
      <x:c r="C314" t="str">
        <x:v>LP</x:v>
      </x:c>
      <x:c r="D314" t="str">
        <x:v>Florida</x:v>
      </x:c>
      <x:c r="E314" t="str">
        <x:v>Foreign LP Qualification</x:v>
      </x:c>
      <x:c r="F314" t="str">
        <x:v>OTC</x:v>
      </x:c>
      <x:c r="G314" t="str">
        <x:v>Florida OTC Fulfillment</x:v>
      </x:c>
      <x:c r="H314" t="str">
        <x:v>Completed</x:v>
      </x:c>
      <x:c r="I314" t="n">
        <x:v>5</x:v>
      </x:c>
      <x:c r="J314" t="n">
        <x:v>3</x:v>
      </x:c>
      <x:c r="K314" t="str">
        <x:f>IF(OR(H314="Pending",H314="Processing"),"Open",IF(I314&lt;=J314,"Yes","No"))</x:f>
        <x:v>No</x:v>
      </x:c>
      <x:c r="L314" t="str"/>
      <x:c r="M314" s="12" t="n">
        <x:v>46123</x:v>
      </x:c>
      <x:c r="N314" s="12" t="n">
        <x:v>46128</x:v>
      </x:c>
      <x:c r="O314" t="str">
        <x:v>No</x:v>
      </x:c>
      <x:c r="P314" t="str">
        <x:v>Standard</x:v>
      </x:c>
    </x:row>
    <x:row r="315">
      <x:c r="A315" t="str">
        <x:v>FIL-20260314</x:v>
      </x:c>
      <x:c r="B315" t="str">
        <x:v>Pioneer Ventures Inc.</x:v>
      </x:c>
      <x:c r="C315" t="str">
        <x:v>Profit Corporation</x:v>
      </x:c>
      <x:c r="D315" t="str">
        <x:v>Virginia</x:v>
      </x:c>
      <x:c r="E315" t="str">
        <x:v>Foreign Corporation Qualification</x:v>
      </x:c>
      <x:c r="F315" t="str">
        <x:v>Online</x:v>
      </x:c>
      <x:c r="G315" t="str">
        <x:v>Virginia Processing Team</x:v>
      </x:c>
      <x:c r="H315" t="str">
        <x:v>Completed</x:v>
      </x:c>
      <x:c r="I315" t="n">
        <x:v>5</x:v>
      </x:c>
      <x:c r="J315" t="n">
        <x:v>4</x:v>
      </x:c>
      <x:c r="K315" t="str">
        <x:f>IF(OR(H315="Pending",H315="Processing"),"Open",IF(I315&lt;=J315,"Yes","No"))</x:f>
        <x:v>No</x:v>
      </x:c>
      <x:c r="L315" t="str"/>
      <x:c r="M315" s="12" t="n">
        <x:v>46075</x:v>
      </x:c>
      <x:c r="N315" s="12" t="n">
        <x:v>46080</x:v>
      </x:c>
      <x:c r="O315" t="str">
        <x:v>No</x:v>
      </x:c>
      <x:c r="P315" t="str">
        <x:v>High</x:v>
      </x:c>
    </x:row>
    <x:row r="316">
      <x:c r="A316" t="str">
        <x:v>FIL-20260315</x:v>
      </x:c>
      <x:c r="B316" t="str">
        <x:v>NorthStar Properties</x:v>
      </x:c>
      <x:c r="C316" t="str">
        <x:v>Fictitious Name</x:v>
      </x:c>
      <x:c r="D316" t="str">
        <x:v>Florida</x:v>
      </x:c>
      <x:c r="E316" t="str">
        <x:v>Fictitious Name Registration</x:v>
      </x:c>
      <x:c r="F316" t="str">
        <x:v>OTC</x:v>
      </x:c>
      <x:c r="G316" t="str">
        <x:v>Florida OTC Fulfillment</x:v>
      </x:c>
      <x:c r="H316" t="str">
        <x:v>Completed</x:v>
      </x:c>
      <x:c r="I316" t="n">
        <x:v>7</x:v>
      </x:c>
      <x:c r="J316" t="n">
        <x:v>3</x:v>
      </x:c>
      <x:c r="K316" t="str">
        <x:f>IF(OR(H316="Pending",H316="Processing"),"Open",IF(I316&lt;=J316,"Yes","No"))</x:f>
        <x:v>No</x:v>
      </x:c>
      <x:c r="L316" t="str"/>
      <x:c r="M316" s="12" t="n">
        <x:v>46176</x:v>
      </x:c>
      <x:c r="N316" s="12" t="n">
        <x:v>46183</x:v>
      </x:c>
      <x:c r="O316" t="str">
        <x:v>No</x:v>
      </x:c>
      <x:c r="P316" t="str">
        <x:v>Standard</x:v>
      </x:c>
    </x:row>
    <x:row r="317">
      <x:c r="A317" t="str">
        <x:v>FIL-20260316</x:v>
      </x:c>
      <x:c r="B317" t="str">
        <x:v>Liberty Healthcare L.L.P.</x:v>
      </x:c>
      <x:c r="C317" t="str">
        <x:v>LLP</x:v>
      </x:c>
      <x:c r="D317" t="str">
        <x:v>Delaware</x:v>
      </x:c>
      <x:c r="E317" t="str">
        <x:v>Limited Liability Partnership Registration</x:v>
      </x:c>
      <x:c r="F317" t="str">
        <x:v>Online</x:v>
      </x:c>
      <x:c r="G317" t="str">
        <x:v>Delaware Processing Team</x:v>
      </x:c>
      <x:c r="H317" t="str">
        <x:v>Rejected</x:v>
      </x:c>
      <x:c r="I317" t="n">
        <x:v>1</x:v>
      </x:c>
      <x:c r="J317" t="n">
        <x:v>2</x:v>
      </x:c>
      <x:c r="K317" t="str">
        <x:f>IF(OR(H317="Pending",H317="Processing"),"Open",IF(I317&lt;=J317,"Yes","No"))</x:f>
        <x:v>Yes</x:v>
      </x:c>
      <x:c r="L317" t="str">
        <x:v>Missing Signature</x:v>
      </x:c>
      <x:c r="M317" s="12" t="n">
        <x:v>46132</x:v>
      </x:c>
      <x:c r="N317" s="12"/>
      <x:c r="O317" t="str">
        <x:v>Yes</x:v>
      </x:c>
      <x:c r="P317" t="str">
        <x:v>Standard</x:v>
      </x:c>
    </x:row>
    <x:row r="318">
      <x:c r="A318" t="str">
        <x:v>FIL-20260317</x:v>
      </x:c>
      <x:c r="B318" t="str">
        <x:v>BrightPath Technologies LP</x:v>
      </x:c>
      <x:c r="C318" t="str">
        <x:v>LP</x:v>
      </x:c>
      <x:c r="D318" t="str">
        <x:v>Washington D.C.</x:v>
      </x:c>
      <x:c r="E318" t="str">
        <x:v>Name Change Amendment</x:v>
      </x:c>
      <x:c r="F318" t="str">
        <x:v>Online</x:v>
      </x:c>
      <x:c r="G318" t="str">
        <x:v>DC Compliance Team</x:v>
      </x:c>
      <x:c r="H318" t="str">
        <x:v>Completed</x:v>
      </x:c>
      <x:c r="I318" t="n">
        <x:v>2</x:v>
      </x:c>
      <x:c r="J318" t="n">
        <x:v>3</x:v>
      </x:c>
      <x:c r="K318" t="str">
        <x:f>IF(OR(H318="Pending",H318="Processing"),"Open",IF(I318&lt;=J318,"Yes","No"))</x:f>
        <x:v>Yes</x:v>
      </x:c>
      <x:c r="L318" t="str"/>
      <x:c r="M318" s="12" t="n">
        <x:v>46050</x:v>
      </x:c>
      <x:c r="N318" s="12" t="n">
        <x:v>46052</x:v>
      </x:c>
      <x:c r="O318" t="str">
        <x:v>Yes</x:v>
      </x:c>
      <x:c r="P318" t="str">
        <x:v>Standard</x:v>
      </x:c>
    </x:row>
    <x:row r="319">
      <x:c r="A319" t="str">
        <x:v>FIL-20260318</x:v>
      </x:c>
      <x:c r="B319" t="str">
        <x:v>Oakmont Services LLC</x:v>
      </x:c>
      <x:c r="C319" t="str">
        <x:v>LLC</x:v>
      </x:c>
      <x:c r="D319" t="str">
        <x:v>Illinois</x:v>
      </x:c>
      <x:c r="E319" t="str">
        <x:v>LLC Formation</x:v>
      </x:c>
      <x:c r="F319" t="str">
        <x:v>Expedited</x:v>
      </x:c>
      <x:c r="G319" t="str">
        <x:v>Illinois Fulfillment Team</x:v>
      </x:c>
      <x:c r="H319" t="str">
        <x:v>Completed</x:v>
      </x:c>
      <x:c r="I319" t="n">
        <x:v>2</x:v>
      </x:c>
      <x:c r="J319" t="n">
        <x:v>2</x:v>
      </x:c>
      <x:c r="K319" t="str">
        <x:f>IF(OR(H319="Pending",H319="Processing"),"Open",IF(I319&lt;=J319,"Yes","No"))</x:f>
        <x:v>Yes</x:v>
      </x:c>
      <x:c r="L319" t="str"/>
      <x:c r="M319" s="12" t="n">
        <x:v>46158</x:v>
      </x:c>
      <x:c r="N319" s="12" t="n">
        <x:v>46160</x:v>
      </x:c>
      <x:c r="O319" t="str">
        <x:v>Yes</x:v>
      </x:c>
      <x:c r="P319" t="str">
        <x:v>Standard</x:v>
      </x:c>
    </x:row>
    <x:row r="320">
      <x:c r="A320" t="str">
        <x:v>FIL-20260319</x:v>
      </x:c>
      <x:c r="B320" t="str">
        <x:v>First State Analytics L.L.P.</x:v>
      </x:c>
      <x:c r="C320" t="str">
        <x:v>LLP</x:v>
      </x:c>
      <x:c r="D320" t="str">
        <x:v>Virginia</x:v>
      </x:c>
      <x:c r="E320" t="str">
        <x:v>Reinstatement</x:v>
      </x:c>
      <x:c r="F320" t="str">
        <x:v>Online</x:v>
      </x:c>
      <x:c r="G320" t="str">
        <x:v>Virginia Processing Team</x:v>
      </x:c>
      <x:c r="H320" t="str">
        <x:v>Completed</x:v>
      </x:c>
      <x:c r="I320" t="n">
        <x:v>1</x:v>
      </x:c>
      <x:c r="J320" t="n">
        <x:v>4</x:v>
      </x:c>
      <x:c r="K320" t="str">
        <x:f>IF(OR(H320="Pending",H320="Processing"),"Open",IF(I320&lt;=J320,"Yes","No"))</x:f>
        <x:v>Yes</x:v>
      </x:c>
      <x:c r="L320" t="str"/>
      <x:c r="M320" s="12" t="n">
        <x:v>46147</x:v>
      </x:c>
      <x:c r="N320" s="12" t="n">
        <x:v>46148</x:v>
      </x:c>
      <x:c r="O320" t="str">
        <x:v>No</x:v>
      </x:c>
      <x:c r="P320" t="str">
        <x:v>High</x:v>
      </x:c>
    </x:row>
    <x:row r="321">
      <x:c r="A321" t="str">
        <x:v>FIL-20260320</x:v>
      </x:c>
      <x:c r="B321" t="str">
        <x:v>Harbor Systems</x:v>
      </x:c>
      <x:c r="C321" t="str">
        <x:v>Fictitious Name</x:v>
      </x:c>
      <x:c r="D321" t="str">
        <x:v>Virginia</x:v>
      </x:c>
      <x:c r="E321" t="str">
        <x:v>Fictitious Name Renewal</x:v>
      </x:c>
      <x:c r="F321" t="str">
        <x:v>Mail</x:v>
      </x:c>
      <x:c r="G321" t="str">
        <x:v>Virginia Processing Team</x:v>
      </x:c>
      <x:c r="H321" t="str">
        <x:v>Completed</x:v>
      </x:c>
      <x:c r="I321" t="n">
        <x:v>4</x:v>
      </x:c>
      <x:c r="J321" t="n">
        <x:v>6</x:v>
      </x:c>
      <x:c r="K321" t="str">
        <x:f>IF(OR(H321="Pending",H321="Processing"),"Open",IF(I321&lt;=J321,"Yes","No"))</x:f>
        <x:v>Yes</x:v>
      </x:c>
      <x:c r="L321" t="str"/>
      <x:c r="M321" s="12" t="n">
        <x:v>46135</x:v>
      </x:c>
      <x:c r="N321" s="12" t="n">
        <x:v>46139</x:v>
      </x:c>
      <x:c r="O321" t="str">
        <x:v>No</x:v>
      </x:c>
      <x:c r="P321" t="str">
        <x:v>Standard</x:v>
      </x:c>
    </x:row>
    <x:row r="322">
      <x:c r="A322" t="str">
        <x:v>FIL-20260321</x:v>
      </x:c>
      <x:c r="B322" t="str">
        <x:v>Legacy Studios Association Inc.</x:v>
      </x:c>
      <x:c r="C322" t="str">
        <x:v>Nonprofit Corporation</x:v>
      </x:c>
      <x:c r="D322" t="str">
        <x:v>Florida</x:v>
      </x:c>
      <x:c r="E322" t="str">
        <x:v>Nonprofit Corporation Formation</x:v>
      </x:c>
      <x:c r="F322" t="str">
        <x:v>OTC</x:v>
      </x:c>
      <x:c r="G322" t="str">
        <x:v>Florida OTC Fulfillment</x:v>
      </x:c>
      <x:c r="H322" t="str">
        <x:v>Processing</x:v>
      </x:c>
      <x:c r="I322" t="n">
        <x:v>6</x:v>
      </x:c>
      <x:c r="J322" t="n">
        <x:v>3</x:v>
      </x:c>
      <x:c r="K322" t="str">
        <x:f>IF(OR(H322="Pending",H322="Processing"),"Open",IF(I322&lt;=J322,"Yes","No"))</x:f>
        <x:v>Open</x:v>
      </x:c>
      <x:c r="L322" t="str"/>
      <x:c r="M322" s="12" t="n">
        <x:v>46085</x:v>
      </x:c>
      <x:c r="N322" s="12"/>
      <x:c r="O322" t="str">
        <x:v>No</x:v>
      </x:c>
      <x:c r="P322" t="str">
        <x:v>Standard</x:v>
      </x:c>
    </x:row>
    <x:row r="323">
      <x:c r="A323" t="str">
        <x:v>FIL-20260322</x:v>
      </x:c>
      <x:c r="B323" t="str">
        <x:v>Horizon Consulting L.L.P.</x:v>
      </x:c>
      <x:c r="C323" t="str">
        <x:v>LLP</x:v>
      </x:c>
      <x:c r="D323" t="str">
        <x:v>New York</x:v>
      </x:c>
      <x:c r="E323" t="str">
        <x:v>Certificate of Status Request</x:v>
      </x:c>
      <x:c r="F323" t="str">
        <x:v>Expedited</x:v>
      </x:c>
      <x:c r="G323" t="str">
        <x:v>Northeast Processing Team</x:v>
      </x:c>
      <x:c r="H323" t="str">
        <x:v>Pending</x:v>
      </x:c>
      <x:c r="I323" t="n">
        <x:v>2</x:v>
      </x:c>
      <x:c r="J323" t="n">
        <x:v>3</x:v>
      </x:c>
      <x:c r="K323" t="str">
        <x:f>IF(OR(H323="Pending",H323="Processing"),"Open",IF(I323&lt;=J323,"Yes","No"))</x:f>
        <x:v>Open</x:v>
      </x:c>
      <x:c r="L323" t="str"/>
      <x:c r="M323" s="12" t="n">
        <x:v>46106</x:v>
      </x:c>
      <x:c r="N323" s="12"/>
      <x:c r="O323" t="str">
        <x:v>Yes</x:v>
      </x:c>
      <x:c r="P323" t="str">
        <x:v>Standard</x:v>
      </x:c>
    </x:row>
    <x:row r="324">
      <x:c r="A324" t="str">
        <x:v>FIL-20260323</x:v>
      </x:c>
      <x:c r="B324" t="str">
        <x:v>BrightPath Properties</x:v>
      </x:c>
      <x:c r="C324" t="str">
        <x:v>Fictitious Name</x:v>
      </x:c>
      <x:c r="D324" t="str">
        <x:v>Washington D.C.</x:v>
      </x:c>
      <x:c r="E324" t="str">
        <x:v>Fictitious Name Registration</x:v>
      </x:c>
      <x:c r="F324" t="str">
        <x:v>Mail</x:v>
      </x:c>
      <x:c r="G324" t="str">
        <x:v>DC Compliance Team</x:v>
      </x:c>
      <x:c r="H324" t="str">
        <x:v>Processing</x:v>
      </x:c>
      <x:c r="I324" t="n">
        <x:v>1</x:v>
      </x:c>
      <x:c r="J324" t="n">
        <x:v>5</x:v>
      </x:c>
      <x:c r="K324" t="str">
        <x:f>IF(OR(H324="Pending",H324="Processing"),"Open",IF(I324&lt;=J324,"Yes","No"))</x:f>
        <x:v>Open</x:v>
      </x:c>
      <x:c r="L324" t="str"/>
      <x:c r="M324" s="12" t="n">
        <x:v>46179</x:v>
      </x:c>
      <x:c r="N324" s="12"/>
      <x:c r="O324" t="str">
        <x:v>Yes</x:v>
      </x:c>
      <x:c r="P324" t="str">
        <x:v>Standard</x:v>
      </x:c>
    </x:row>
    <x:row r="325">
      <x:c r="A325" t="str">
        <x:v>FIL-20260324</x:v>
      </x:c>
      <x:c r="B325" t="str">
        <x:v>Sterling Services LLC</x:v>
      </x:c>
      <x:c r="C325" t="str">
        <x:v>LLC</x:v>
      </x:c>
      <x:c r="D325" t="str">
        <x:v>Texas</x:v>
      </x:c>
      <x:c r="E325" t="str">
        <x:v>LLC Formation</x:v>
      </x:c>
      <x:c r="F325" t="str">
        <x:v>Mail</x:v>
      </x:c>
      <x:c r="G325" t="str">
        <x:v>Texas Filing Operations</x:v>
      </x:c>
      <x:c r="H325" t="str">
        <x:v>Rejected</x:v>
      </x:c>
      <x:c r="I325" t="n">
        <x:v>5</x:v>
      </x:c>
      <x:c r="J325" t="n">
        <x:v>6</x:v>
      </x:c>
      <x:c r="K325" t="str">
        <x:f>IF(OR(H325="Pending",H325="Processing"),"Open",IF(I325&lt;=J325,"Yes","No"))</x:f>
        <x:v>Yes</x:v>
      </x:c>
      <x:c r="L325" t="str">
        <x:v>Incorrect Suffix</x:v>
      </x:c>
      <x:c r="M325" s="12" t="n">
        <x:v>46124</x:v>
      </x:c>
      <x:c r="N325" s="12"/>
      <x:c r="O325" t="str">
        <x:v>No</x:v>
      </x:c>
      <x:c r="P325" t="str">
        <x:v>Standard</x:v>
      </x:c>
    </x:row>
    <x:row r="326">
      <x:c r="A326" t="str">
        <x:v>FIL-20260325</x:v>
      </x:c>
      <x:c r="B326" t="str">
        <x:v>Summit Ventures L.L.P.</x:v>
      </x:c>
      <x:c r="C326" t="str">
        <x:v>LLP</x:v>
      </x:c>
      <x:c r="D326" t="str">
        <x:v>Illinois</x:v>
      </x:c>
      <x:c r="E326" t="str">
        <x:v>Registered Agent Change</x:v>
      </x:c>
      <x:c r="F326" t="str">
        <x:v>Expedited</x:v>
      </x:c>
      <x:c r="G326" t="str">
        <x:v>Illinois Fulfillment Team</x:v>
      </x:c>
      <x:c r="H326" t="str">
        <x:v>Completed</x:v>
      </x:c>
      <x:c r="I326" t="n">
        <x:v>5</x:v>
      </x:c>
      <x:c r="J326" t="n">
        <x:v>2</x:v>
      </x:c>
      <x:c r="K326" t="str">
        <x:f>IF(OR(H326="Pending",H326="Processing"),"Open",IF(I326&lt;=J326,"Yes","No"))</x:f>
        <x:v>No</x:v>
      </x:c>
      <x:c r="L326" t="str"/>
      <x:c r="M326" s="12" t="n">
        <x:v>46162</x:v>
      </x:c>
      <x:c r="N326" s="12" t="n">
        <x:v>46167</x:v>
      </x:c>
      <x:c r="O326" t="str">
        <x:v>Yes</x:v>
      </x:c>
      <x:c r="P326" t="str">
        <x:v>High</x:v>
      </x:c>
    </x:row>
    <x:row r="327">
      <x:c r="A327" t="str">
        <x:v>FIL-20260326</x:v>
      </x:c>
      <x:c r="B327" t="str">
        <x:v>Pioneer Solutions P.L.L.C.</x:v>
      </x:c>
      <x:c r="C327" t="str">
        <x:v>PLLC</x:v>
      </x:c>
      <x:c r="D327" t="str">
        <x:v>Virginia</x:v>
      </x:c>
      <x:c r="E327" t="str">
        <x:v>PLLC Formation</x:v>
      </x:c>
      <x:c r="F327" t="str">
        <x:v>Mail</x:v>
      </x:c>
      <x:c r="G327" t="str">
        <x:v>Virginia Processing Team</x:v>
      </x:c>
      <x:c r="H327" t="str">
        <x:v>Rejected</x:v>
      </x:c>
      <x:c r="I327" t="n">
        <x:v>4</x:v>
      </x:c>
      <x:c r="J327" t="n">
        <x:v>6</x:v>
      </x:c>
      <x:c r="K327" t="str">
        <x:f>IF(OR(H327="Pending",H327="Processing"),"Open",IF(I327&lt;=J327,"Yes","No"))</x:f>
        <x:v>Yes</x:v>
      </x:c>
      <x:c r="L327" t="str">
        <x:v>Incomplete Qualification Packet</x:v>
      </x:c>
      <x:c r="M327" s="12" t="n">
        <x:v>46082</x:v>
      </x:c>
      <x:c r="N327" s="12"/>
      <x:c r="O327" t="str">
        <x:v>No</x:v>
      </x:c>
      <x:c r="P327" t="str">
        <x:v>Urgent</x:v>
      </x:c>
    </x:row>
    <x:row r="328">
      <x:c r="A328" t="str">
        <x:v>FIL-20260327</x:v>
      </x:c>
      <x:c r="B328" t="str">
        <x:v>First State Technologies Institute Inc.</x:v>
      </x:c>
      <x:c r="C328" t="str">
        <x:v>Nonprofit Corporation</x:v>
      </x:c>
      <x:c r="D328" t="str">
        <x:v>Washington D.C.</x:v>
      </x:c>
      <x:c r="E328" t="str">
        <x:v>Registered Agent Change</x:v>
      </x:c>
      <x:c r="F328" t="str">
        <x:v>Online</x:v>
      </x:c>
      <x:c r="G328" t="str">
        <x:v>DC Compliance Team</x:v>
      </x:c>
      <x:c r="H328" t="str">
        <x:v>Processing</x:v>
      </x:c>
      <x:c r="I328" t="n">
        <x:v>6</x:v>
      </x:c>
      <x:c r="J328" t="n">
        <x:v>3</x:v>
      </x:c>
      <x:c r="K328" t="str">
        <x:f>IF(OR(H328="Pending",H328="Processing"),"Open",IF(I328&lt;=J328,"Yes","No"))</x:f>
        <x:v>Open</x:v>
      </x:c>
      <x:c r="L328" t="str"/>
      <x:c r="M328" s="12" t="n">
        <x:v>46186</x:v>
      </x:c>
      <x:c r="N328" s="12"/>
      <x:c r="O328" t="str">
        <x:v>Yes</x:v>
      </x:c>
      <x:c r="P328" t="str">
        <x:v>Standard</x:v>
      </x:c>
    </x:row>
    <x:row r="329">
      <x:c r="A329" t="str">
        <x:v>FIL-20260328</x:v>
      </x:c>
      <x:c r="B329" t="str">
        <x:v>Crescent Logistics LLC</x:v>
      </x:c>
      <x:c r="C329" t="str">
        <x:v>LLC</x:v>
      </x:c>
      <x:c r="D329" t="str">
        <x:v>California</x:v>
      </x:c>
      <x:c r="E329" t="str">
        <x:v>LLC Formation</x:v>
      </x:c>
      <x:c r="F329" t="str">
        <x:v>Online</x:v>
      </x:c>
      <x:c r="G329" t="str">
        <x:v>West Coast Processing Team</x:v>
      </x:c>
      <x:c r="H329" t="str">
        <x:v>Processing</x:v>
      </x:c>
      <x:c r="I329" t="n">
        <x:v>6</x:v>
      </x:c>
      <x:c r="J329" t="n">
        <x:v>5</x:v>
      </x:c>
      <x:c r="K329" t="str">
        <x:f>IF(OR(H329="Pending",H329="Processing"),"Open",IF(I329&lt;=J329,"Yes","No"))</x:f>
        <x:v>Open</x:v>
      </x:c>
      <x:c r="L329" t="str"/>
      <x:c r="M329" s="12" t="n">
        <x:v>46052</x:v>
      </x:c>
      <x:c r="N329" s="12"/>
      <x:c r="O329" t="str">
        <x:v>No</x:v>
      </x:c>
      <x:c r="P329" t="str">
        <x:v>Standard</x:v>
      </x:c>
    </x:row>
    <x:row r="330">
      <x:c r="A330" t="str">
        <x:v>FIL-20260329</x:v>
      </x:c>
      <x:c r="B330" t="str">
        <x:v>Legacy Partners L.L.C.</x:v>
      </x:c>
      <x:c r="C330" t="str">
        <x:v>LLC</x:v>
      </x:c>
      <x:c r="D330" t="str">
        <x:v>Delaware</x:v>
      </x:c>
      <x:c r="E330" t="str">
        <x:v>LLC Amendment</x:v>
      </x:c>
      <x:c r="F330" t="str">
        <x:v>Expedited</x:v>
      </x:c>
      <x:c r="G330" t="str">
        <x:v>Delaware Processing Team</x:v>
      </x:c>
      <x:c r="H330" t="str">
        <x:v>Completed</x:v>
      </x:c>
      <x:c r="I330" t="n">
        <x:v>3</x:v>
      </x:c>
      <x:c r="J330" t="n">
        <x:v>1</x:v>
      </x:c>
      <x:c r="K330" t="str">
        <x:f>IF(OR(H330="Pending",H330="Processing"),"Open",IF(I330&lt;=J330,"Yes","No"))</x:f>
        <x:v>No</x:v>
      </x:c>
      <x:c r="L330" t="str"/>
      <x:c r="M330" s="12" t="n">
        <x:v>46157</x:v>
      </x:c>
      <x:c r="N330" s="12" t="n">
        <x:v>46160</x:v>
      </x:c>
      <x:c r="O330" t="str">
        <x:v>Yes</x:v>
      </x:c>
      <x:c r="P330" t="str">
        <x:v>High</x:v>
      </x:c>
    </x:row>
    <x:row r="331">
      <x:c r="A331" t="str">
        <x:v>FIL-20260330</x:v>
      </x:c>
      <x:c r="B331" t="str">
        <x:v>Capital Resources</x:v>
      </x:c>
      <x:c r="C331" t="str">
        <x:v>Fictitious Name</x:v>
      </x:c>
      <x:c r="D331" t="str">
        <x:v>Maryland</x:v>
      </x:c>
      <x:c r="E331" t="str">
        <x:v>Fictitious Name Registration</x:v>
      </x:c>
      <x:c r="F331" t="str">
        <x:v>Online</x:v>
      </x:c>
      <x:c r="G331" t="str">
        <x:v>Maryland Processing Team</x:v>
      </x:c>
      <x:c r="H331" t="str">
        <x:v>Completed</x:v>
      </x:c>
      <x:c r="I331" t="n">
        <x:v>8</x:v>
      </x:c>
      <x:c r="J331" t="n">
        <x:v>4</x:v>
      </x:c>
      <x:c r="K331" t="str">
        <x:f>IF(OR(H331="Pending",H331="Processing"),"Open",IF(I331&lt;=J331,"Yes","No"))</x:f>
        <x:v>No</x:v>
      </x:c>
      <x:c r="L331" t="str"/>
      <x:c r="M331" s="12" t="n">
        <x:v>46173</x:v>
      </x:c>
      <x:c r="N331" s="12" t="n">
        <x:v>46181</x:v>
      </x:c>
      <x:c r="O331" t="str">
        <x:v>No</x:v>
      </x:c>
      <x:c r="P331" t="str">
        <x:v>Standard</x:v>
      </x:c>
    </x:row>
    <x:row r="332">
      <x:c r="A332" t="str">
        <x:v>FIL-20260331</x:v>
      </x:c>
      <x:c r="B332" t="str">
        <x:v>Liberty Development LLC</x:v>
      </x:c>
      <x:c r="C332" t="str">
        <x:v>LLC</x:v>
      </x:c>
      <x:c r="D332" t="str">
        <x:v>Virginia</x:v>
      </x:c>
      <x:c r="E332" t="str">
        <x:v>Foreign LLC Qualification</x:v>
      </x:c>
      <x:c r="F332" t="str">
        <x:v>Mail</x:v>
      </x:c>
      <x:c r="G332" t="str">
        <x:v>Virginia Processing Team</x:v>
      </x:c>
      <x:c r="H332" t="str">
        <x:v>Processing</x:v>
      </x:c>
      <x:c r="I332" t="n">
        <x:v>5</x:v>
      </x:c>
      <x:c r="J332" t="n">
        <x:v>6</x:v>
      </x:c>
      <x:c r="K332" t="str">
        <x:f>IF(OR(H332="Pending",H332="Processing"),"Open",IF(I332&lt;=J332,"Yes","No"))</x:f>
        <x:v>Open</x:v>
      </x:c>
      <x:c r="L332" t="str"/>
      <x:c r="M332" s="12" t="n">
        <x:v>46065</x:v>
      </x:c>
      <x:c r="N332" s="12"/>
      <x:c r="O332" t="str">
        <x:v>No</x:v>
      </x:c>
      <x:c r="P332" t="str">
        <x:v>Standard</x:v>
      </x:c>
    </x:row>
    <x:row r="333">
      <x:c r="A333" t="str">
        <x:v>FIL-20260332</x:v>
      </x:c>
      <x:c r="B333" t="str">
        <x:v>Oakmont Technologies Inc.</x:v>
      </x:c>
      <x:c r="C333" t="str">
        <x:v>Profit Corporation</x:v>
      </x:c>
      <x:c r="D333" t="str">
        <x:v>North Carolina</x:v>
      </x:c>
      <x:c r="E333" t="str">
        <x:v>Corporation Amendment</x:v>
      </x:c>
      <x:c r="F333" t="str">
        <x:v>Mail</x:v>
      </x:c>
      <x:c r="G333" t="str">
        <x:v>North Carolina Processing Team</x:v>
      </x:c>
      <x:c r="H333" t="str">
        <x:v>Completed</x:v>
      </x:c>
      <x:c r="I333" t="n">
        <x:v>7</x:v>
      </x:c>
      <x:c r="J333" t="n">
        <x:v>6</x:v>
      </x:c>
      <x:c r="K333" t="str">
        <x:f>IF(OR(H333="Pending",H333="Processing"),"Open",IF(I333&lt;=J333,"Yes","No"))</x:f>
        <x:v>No</x:v>
      </x:c>
      <x:c r="L333" t="str"/>
      <x:c r="M333" s="12" t="n">
        <x:v>46122</x:v>
      </x:c>
      <x:c r="N333" s="12" t="n">
        <x:v>46129</x:v>
      </x:c>
      <x:c r="O333" t="str">
        <x:v>No</x:v>
      </x:c>
      <x:c r="P333" t="str">
        <x:v>High</x:v>
      </x:c>
    </x:row>
    <x:row r="334">
      <x:c r="A334" t="str">
        <x:v>FIL-20260333</x:v>
      </x:c>
      <x:c r="B334" t="str">
        <x:v>Atlantic Development L.P.</x:v>
      </x:c>
      <x:c r="C334" t="str">
        <x:v>LP</x:v>
      </x:c>
      <x:c r="D334" t="str">
        <x:v>Illinois</x:v>
      </x:c>
      <x:c r="E334" t="str">
        <x:v>Annual Report</x:v>
      </x:c>
      <x:c r="F334" t="str">
        <x:v>Mail</x:v>
      </x:c>
      <x:c r="G334" t="str">
        <x:v>Illinois Fulfillment Team</x:v>
      </x:c>
      <x:c r="H334" t="str">
        <x:v>Completed</x:v>
      </x:c>
      <x:c r="I334" t="n">
        <x:v>5</x:v>
      </x:c>
      <x:c r="J334" t="n">
        <x:v>6</x:v>
      </x:c>
      <x:c r="K334" t="str">
        <x:f>IF(OR(H334="Pending",H334="Processing"),"Open",IF(I334&lt;=J334,"Yes","No"))</x:f>
        <x:v>Yes</x:v>
      </x:c>
      <x:c r="L334" t="str"/>
      <x:c r="M334" s="12" t="n">
        <x:v>46154</x:v>
      </x:c>
      <x:c r="N334" s="12" t="n">
        <x:v>46159</x:v>
      </x:c>
      <x:c r="O334" t="str">
        <x:v>Yes</x:v>
      </x:c>
      <x:c r="P334" t="str">
        <x:v>Standard</x:v>
      </x:c>
    </x:row>
    <x:row r="335">
      <x:c r="A335" t="str">
        <x:v>FIL-20260334</x:v>
      </x:c>
      <x:c r="B335" t="str">
        <x:v>Oakmont Resources</x:v>
      </x:c>
      <x:c r="C335" t="str">
        <x:v>Fictitious Name</x:v>
      </x:c>
      <x:c r="D335" t="str">
        <x:v>California</x:v>
      </x:c>
      <x:c r="E335" t="str">
        <x:v>Fictitious Name Registration</x:v>
      </x:c>
      <x:c r="F335" t="str">
        <x:v>Online</x:v>
      </x:c>
      <x:c r="G335" t="str">
        <x:v>West Coast Processing Team</x:v>
      </x:c>
      <x:c r="H335" t="str">
        <x:v>Completed</x:v>
      </x:c>
      <x:c r="I335" t="n">
        <x:v>2</x:v>
      </x:c>
      <x:c r="J335" t="n">
        <x:v>5</x:v>
      </x:c>
      <x:c r="K335" t="str">
        <x:f>IF(OR(H335="Pending",H335="Processing"),"Open",IF(I335&lt;=J335,"Yes","No"))</x:f>
        <x:v>Yes</x:v>
      </x:c>
      <x:c r="L335" t="str"/>
      <x:c r="M335" s="12" t="n">
        <x:v>46126</x:v>
      </x:c>
      <x:c r="N335" s="12" t="n">
        <x:v>46128</x:v>
      </x:c>
      <x:c r="O335" t="str">
        <x:v>No</x:v>
      </x:c>
      <x:c r="P335" t="str">
        <x:v>Standard</x:v>
      </x:c>
    </x:row>
    <x:row r="336">
      <x:c r="A336" t="str">
        <x:v>FIL-20260335</x:v>
      </x:c>
      <x:c r="B336" t="str">
        <x:v>Metro Ventures LP</x:v>
      </x:c>
      <x:c r="C336" t="str">
        <x:v>LP</x:v>
      </x:c>
      <x:c r="D336" t="str">
        <x:v>Illinois</x:v>
      </x:c>
      <x:c r="E336" t="str">
        <x:v>Conversion Filing</x:v>
      </x:c>
      <x:c r="F336" t="str">
        <x:v>Mail</x:v>
      </x:c>
      <x:c r="G336" t="str">
        <x:v>Illinois Fulfillment Team</x:v>
      </x:c>
      <x:c r="H336" t="str">
        <x:v>Completed</x:v>
      </x:c>
      <x:c r="I336" t="n">
        <x:v>7</x:v>
      </x:c>
      <x:c r="J336" t="n">
        <x:v>6</x:v>
      </x:c>
      <x:c r="K336" t="str">
        <x:f>IF(OR(H336="Pending",H336="Processing"),"Open",IF(I336&lt;=J336,"Yes","No"))</x:f>
        <x:v>No</x:v>
      </x:c>
      <x:c r="L336" t="str"/>
      <x:c r="M336" s="12" t="n">
        <x:v>46163</x:v>
      </x:c>
      <x:c r="N336" s="12" t="n">
        <x:v>46170</x:v>
      </x:c>
      <x:c r="O336" t="str">
        <x:v>Yes</x:v>
      </x:c>
      <x:c r="P336" t="str">
        <x:v>Standard</x:v>
      </x:c>
    </x:row>
    <x:row r="337">
      <x:c r="A337" t="str">
        <x:v>FIL-20260336</x:v>
      </x:c>
      <x:c r="B337" t="str">
        <x:v>Pioneer Studios LLP</x:v>
      </x:c>
      <x:c r="C337" t="str">
        <x:v>LLP</x:v>
      </x:c>
      <x:c r="D337" t="str">
        <x:v>Florida</x:v>
      </x:c>
      <x:c r="E337" t="str">
        <x:v>Limited Liability Partnership Registration</x:v>
      </x:c>
      <x:c r="F337" t="str">
        <x:v>Online</x:v>
      </x:c>
      <x:c r="G337" t="str">
        <x:v>Florida Online Fulfillment</x:v>
      </x:c>
      <x:c r="H337" t="str">
        <x:v>Completed</x:v>
      </x:c>
      <x:c r="I337" t="n">
        <x:v>1</x:v>
      </x:c>
      <x:c r="J337" t="n">
        <x:v>3</x:v>
      </x:c>
      <x:c r="K337" t="str">
        <x:f>IF(OR(H337="Pending",H337="Processing"),"Open",IF(I337&lt;=J337,"Yes","No"))</x:f>
        <x:v>Yes</x:v>
      </x:c>
      <x:c r="L337" t="str"/>
      <x:c r="M337" s="12" t="n">
        <x:v>46201</x:v>
      </x:c>
      <x:c r="N337" s="12" t="n">
        <x:v>46202</x:v>
      </x:c>
      <x:c r="O337" t="str">
        <x:v>No</x:v>
      </x:c>
      <x:c r="P337" t="str">
        <x:v>Standard</x:v>
      </x:c>
    </x:row>
    <x:row r="338">
      <x:c r="A338" t="str">
        <x:v>FIL-20260337</x:v>
      </x:c>
      <x:c r="B338" t="str">
        <x:v>Summit Resources Inc.</x:v>
      </x:c>
      <x:c r="C338" t="str">
        <x:v>Profit Corporation</x:v>
      </x:c>
      <x:c r="D338" t="str">
        <x:v>Washington D.C.</x:v>
      </x:c>
      <x:c r="E338" t="str">
        <x:v>Corporation Amendment</x:v>
      </x:c>
      <x:c r="F338" t="str">
        <x:v>Mail</x:v>
      </x:c>
      <x:c r="G338" t="str">
        <x:v>DC Compliance Team</x:v>
      </x:c>
      <x:c r="H338" t="str">
        <x:v>Completed</x:v>
      </x:c>
      <x:c r="I338" t="n">
        <x:v>4</x:v>
      </x:c>
      <x:c r="J338" t="n">
        <x:v>5</x:v>
      </x:c>
      <x:c r="K338" t="str">
        <x:f>IF(OR(H338="Pending",H338="Processing"),"Open",IF(I338&lt;=J338,"Yes","No"))</x:f>
        <x:v>Yes</x:v>
      </x:c>
      <x:c r="L338" t="str"/>
      <x:c r="M338" s="12" t="n">
        <x:v>46036</x:v>
      </x:c>
      <x:c r="N338" s="12" t="n">
        <x:v>46040</x:v>
      </x:c>
      <x:c r="O338" t="str">
        <x:v>Yes</x:v>
      </x:c>
      <x:c r="P338" t="str">
        <x:v>Standard</x:v>
      </x:c>
    </x:row>
    <x:row r="339">
      <x:c r="A339" t="str">
        <x:v>FIL-20260338</x:v>
      </x:c>
      <x:c r="B339" t="str">
        <x:v>Capital Partners L.L.C.</x:v>
      </x:c>
      <x:c r="C339" t="str">
        <x:v>LLC</x:v>
      </x:c>
      <x:c r="D339" t="str">
        <x:v>Illinois</x:v>
      </x:c>
      <x:c r="E339" t="str">
        <x:v>LLC Formation</x:v>
      </x:c>
      <x:c r="F339" t="str">
        <x:v>Online</x:v>
      </x:c>
      <x:c r="G339" t="str">
        <x:v>Illinois Online Fulfillment</x:v>
      </x:c>
      <x:c r="H339" t="str">
        <x:v>Completed</x:v>
      </x:c>
      <x:c r="I339" t="n">
        <x:v>4</x:v>
      </x:c>
      <x:c r="J339" t="n">
        <x:v>4</x:v>
      </x:c>
      <x:c r="K339" t="str">
        <x:f>IF(OR(H339="Pending",H339="Processing"),"Open",IF(I339&lt;=J339,"Yes","No"))</x:f>
        <x:v>Yes</x:v>
      </x:c>
      <x:c r="L339" t="str"/>
      <x:c r="M339" s="12" t="n">
        <x:v>46145</x:v>
      </x:c>
      <x:c r="N339" s="12" t="n">
        <x:v>46149</x:v>
      </x:c>
      <x:c r="O339" t="str">
        <x:v>Yes</x:v>
      </x:c>
      <x:c r="P339" t="str">
        <x:v>Standard</x:v>
      </x:c>
    </x:row>
    <x:row r="340">
      <x:c r="A340" t="str">
        <x:v>FIL-20260339</x:v>
      </x:c>
      <x:c r="B340" t="str">
        <x:v>Golden Coast Services LLC</x:v>
      </x:c>
      <x:c r="C340" t="str">
        <x:v>LLC</x:v>
      </x:c>
      <x:c r="D340" t="str">
        <x:v>Florida</x:v>
      </x:c>
      <x:c r="E340" t="str">
        <x:v>Foreign LLC Qualification</x:v>
      </x:c>
      <x:c r="F340" t="str">
        <x:v>OTC</x:v>
      </x:c>
      <x:c r="G340" t="str">
        <x:v>Florida OTC Fulfillment</x:v>
      </x:c>
      <x:c r="H340" t="str">
        <x:v>Completed</x:v>
      </x:c>
      <x:c r="I340" t="n">
        <x:v>2</x:v>
      </x:c>
      <x:c r="J340" t="n">
        <x:v>3</x:v>
      </x:c>
      <x:c r="K340" t="str">
        <x:f>IF(OR(H340="Pending",H340="Processing"),"Open",IF(I340&lt;=J340,"Yes","No"))</x:f>
        <x:v>Yes</x:v>
      </x:c>
      <x:c r="L340" t="str"/>
      <x:c r="M340" s="12" t="n">
        <x:v>46124</x:v>
      </x:c>
      <x:c r="N340" s="12" t="n">
        <x:v>46126</x:v>
      </x:c>
      <x:c r="O340" t="str">
        <x:v>No</x:v>
      </x:c>
      <x:c r="P340" t="str">
        <x:v>Standard</x:v>
      </x:c>
    </x:row>
    <x:row r="341">
      <x:c r="A341" t="str">
        <x:v>FIL-20260340</x:v>
      </x:c>
      <x:c r="B341" t="str">
        <x:v>Crescent Consulting L.L.P.</x:v>
      </x:c>
      <x:c r="C341" t="str">
        <x:v>LLP</x:v>
      </x:c>
      <x:c r="D341" t="str">
        <x:v>Virginia</x:v>
      </x:c>
      <x:c r="E341" t="str">
        <x:v>Limited Liability Partnership Registration</x:v>
      </x:c>
      <x:c r="F341" t="str">
        <x:v>Online</x:v>
      </x:c>
      <x:c r="G341" t="str">
        <x:v>Virginia Processing Team</x:v>
      </x:c>
      <x:c r="H341" t="str">
        <x:v>Pending</x:v>
      </x:c>
      <x:c r="I341" t="n">
        <x:v>1</x:v>
      </x:c>
      <x:c r="J341" t="n">
        <x:v>4</x:v>
      </x:c>
      <x:c r="K341" t="str">
        <x:f>IF(OR(H341="Pending",H341="Processing"),"Open",IF(I341&lt;=J341,"Yes","No"))</x:f>
        <x:v>Open</x:v>
      </x:c>
      <x:c r="L341" t="str"/>
      <x:c r="M341" s="12" t="n">
        <x:v>46165</x:v>
      </x:c>
      <x:c r="N341" s="12"/>
      <x:c r="O341" t="str">
        <x:v>No</x:v>
      </x:c>
      <x:c r="P341" t="str">
        <x:v>Urgent</x:v>
      </x:c>
    </x:row>
    <x:row r="342">
      <x:c r="A342" t="str">
        <x:v>FIL-20260341</x:v>
      </x:c>
      <x:c r="B342" t="str">
        <x:v>Horizon Logistics L.L.P.</x:v>
      </x:c>
      <x:c r="C342" t="str">
        <x:v>LLP</x:v>
      </x:c>
      <x:c r="D342" t="str">
        <x:v>Delaware</x:v>
      </x:c>
      <x:c r="E342" t="str">
        <x:v>Limited Liability Partnership Registration</x:v>
      </x:c>
      <x:c r="F342" t="str">
        <x:v>Mail</x:v>
      </x:c>
      <x:c r="G342" t="str">
        <x:v>Delaware Processing Team</x:v>
      </x:c>
      <x:c r="H342" t="str">
        <x:v>Processing</x:v>
      </x:c>
      <x:c r="I342" t="n">
        <x:v>6</x:v>
      </x:c>
      <x:c r="J342" t="n">
        <x:v>4</x:v>
      </x:c>
      <x:c r="K342" t="str">
        <x:f>IF(OR(H342="Pending",H342="Processing"),"Open",IF(I342&lt;=J342,"Yes","No"))</x:f>
        <x:v>Open</x:v>
      </x:c>
      <x:c r="L342" t="str"/>
      <x:c r="M342" s="12" t="n">
        <x:v>46150</x:v>
      </x:c>
      <x:c r="N342" s="12"/>
      <x:c r="O342" t="str">
        <x:v>Yes</x:v>
      </x:c>
      <x:c r="P342" t="str">
        <x:v>Standard</x:v>
      </x:c>
    </x:row>
    <x:row r="343">
      <x:c r="A343" t="str">
        <x:v>FIL-20260342</x:v>
      </x:c>
      <x:c r="B343" t="str">
        <x:v>Liberty Logistics Corporation</x:v>
      </x:c>
      <x:c r="C343" t="str">
        <x:v>Profit Corporation</x:v>
      </x:c>
      <x:c r="D343" t="str">
        <x:v>North Carolina</x:v>
      </x:c>
      <x:c r="E343" t="str">
        <x:v>Profit Corporation Formation</x:v>
      </x:c>
      <x:c r="F343" t="str">
        <x:v>Online</x:v>
      </x:c>
      <x:c r="G343" t="str">
        <x:v>North Carolina Processing Team</x:v>
      </x:c>
      <x:c r="H343" t="str">
        <x:v>Completed</x:v>
      </x:c>
      <x:c r="I343" t="n">
        <x:v>7</x:v>
      </x:c>
      <x:c r="J343" t="n">
        <x:v>4</x:v>
      </x:c>
      <x:c r="K343" t="str">
        <x:f>IF(OR(H343="Pending",H343="Processing"),"Open",IF(I343&lt;=J343,"Yes","No"))</x:f>
        <x:v>No</x:v>
      </x:c>
      <x:c r="L343" t="str"/>
      <x:c r="M343" s="12" t="n">
        <x:v>46108</x:v>
      </x:c>
      <x:c r="N343" s="12" t="n">
        <x:v>46115</x:v>
      </x:c>
      <x:c r="O343" t="str">
        <x:v>No</x:v>
      </x:c>
      <x:c r="P343" t="str">
        <x:v>Standard</x:v>
      </x:c>
    </x:row>
    <x:row r="344">
      <x:c r="A344" t="str">
        <x:v>FIL-20260343</x:v>
      </x:c>
      <x:c r="B344" t="str">
        <x:v>Pioneer Analytics LLC</x:v>
      </x:c>
      <x:c r="C344" t="str">
        <x:v>LLC</x:v>
      </x:c>
      <x:c r="D344" t="str">
        <x:v>Illinois</x:v>
      </x:c>
      <x:c r="E344" t="str">
        <x:v>Principal Address Update</x:v>
      </x:c>
      <x:c r="F344" t="str">
        <x:v>Online</x:v>
      </x:c>
      <x:c r="G344" t="str">
        <x:v>Illinois Online Fulfillment</x:v>
      </x:c>
      <x:c r="H344" t="str">
        <x:v>Completed</x:v>
      </x:c>
      <x:c r="I344" t="n">
        <x:v>3</x:v>
      </x:c>
      <x:c r="J344" t="n">
        <x:v>4</x:v>
      </x:c>
      <x:c r="K344" t="str">
        <x:f>IF(OR(H344="Pending",H344="Processing"),"Open",IF(I344&lt;=J344,"Yes","No"))</x:f>
        <x:v>Yes</x:v>
      </x:c>
      <x:c r="L344" t="str"/>
      <x:c r="M344" s="12" t="n">
        <x:v>46142</x:v>
      </x:c>
      <x:c r="N344" s="12" t="n">
        <x:v>46145</x:v>
      </x:c>
      <x:c r="O344" t="str">
        <x:v>Yes</x:v>
      </x:c>
      <x:c r="P344" t="str">
        <x:v>Standard</x:v>
      </x:c>
    </x:row>
    <x:row r="345">
      <x:c r="A345" t="str">
        <x:v>FIL-20260344</x:v>
      </x:c>
      <x:c r="B345" t="str">
        <x:v>Liberty Properties L.L.P.</x:v>
      </x:c>
      <x:c r="C345" t="str">
        <x:v>LLP</x:v>
      </x:c>
      <x:c r="D345" t="str">
        <x:v>Florida</x:v>
      </x:c>
      <x:c r="E345" t="str">
        <x:v>Limited Liability Partnership Registration</x:v>
      </x:c>
      <x:c r="F345" t="str">
        <x:v>OTC</x:v>
      </x:c>
      <x:c r="G345" t="str">
        <x:v>Florida OTC Fulfillment</x:v>
      </x:c>
      <x:c r="H345" t="str">
        <x:v>Completed</x:v>
      </x:c>
      <x:c r="I345" t="n">
        <x:v>4</x:v>
      </x:c>
      <x:c r="J345" t="n">
        <x:v>3</x:v>
      </x:c>
      <x:c r="K345" t="str">
        <x:f>IF(OR(H345="Pending",H345="Processing"),"Open",IF(I345&lt;=J345,"Yes","No"))</x:f>
        <x:v>No</x:v>
      </x:c>
      <x:c r="L345" t="str"/>
      <x:c r="M345" s="12" t="n">
        <x:v>46151</x:v>
      </x:c>
      <x:c r="N345" s="12" t="n">
        <x:v>46155</x:v>
      </x:c>
      <x:c r="O345" t="str">
        <x:v>No</x:v>
      </x:c>
      <x:c r="P345" t="str">
        <x:v>Standard</x:v>
      </x:c>
    </x:row>
    <x:row r="346">
      <x:c r="A346" t="str">
        <x:v>FIL-20260345</x:v>
      </x:c>
      <x:c r="B346" t="str">
        <x:v>BrightPath Services Corp.</x:v>
      </x:c>
      <x:c r="C346" t="str">
        <x:v>Profit Corporation</x:v>
      </x:c>
      <x:c r="D346" t="str">
        <x:v>Delaware</x:v>
      </x:c>
      <x:c r="E346" t="str">
        <x:v>Foreign Corporation Qualification</x:v>
      </x:c>
      <x:c r="F346" t="str">
        <x:v>Expedited</x:v>
      </x:c>
      <x:c r="G346" t="str">
        <x:v>Delaware Processing Team</x:v>
      </x:c>
      <x:c r="H346" t="str">
        <x:v>Processing</x:v>
      </x:c>
      <x:c r="I346" t="n">
        <x:v>2</x:v>
      </x:c>
      <x:c r="J346" t="n">
        <x:v>1</x:v>
      </x:c>
      <x:c r="K346" t="str">
        <x:f>IF(OR(H346="Pending",H346="Processing"),"Open",IF(I346&lt;=J346,"Yes","No"))</x:f>
        <x:v>Open</x:v>
      </x:c>
      <x:c r="L346" t="str"/>
      <x:c r="M346" s="12" t="n">
        <x:v>46158</x:v>
      </x:c>
      <x:c r="N346" s="12"/>
      <x:c r="O346" t="str">
        <x:v>Yes</x:v>
      </x:c>
      <x:c r="P346" t="str">
        <x:v>Standard</x:v>
      </x:c>
    </x:row>
    <x:row r="347">
      <x:c r="A347" t="str">
        <x:v>FIL-20260346</x:v>
      </x:c>
      <x:c r="B347" t="str">
        <x:v>Golden Coast Group Inc.</x:v>
      </x:c>
      <x:c r="C347" t="str">
        <x:v>Profit Corporation</x:v>
      </x:c>
      <x:c r="D347" t="str">
        <x:v>North Carolina</x:v>
      </x:c>
      <x:c r="E347" t="str">
        <x:v>Profit Corporation Formation</x:v>
      </x:c>
      <x:c r="F347" t="str">
        <x:v>Online</x:v>
      </x:c>
      <x:c r="G347" t="str">
        <x:v>North Carolina Processing Team</x:v>
      </x:c>
      <x:c r="H347" t="str">
        <x:v>Completed</x:v>
      </x:c>
      <x:c r="I347" t="n">
        <x:v>2</x:v>
      </x:c>
      <x:c r="J347" t="n">
        <x:v>4</x:v>
      </x:c>
      <x:c r="K347" t="str">
        <x:f>IF(OR(H347="Pending",H347="Processing"),"Open",IF(I347&lt;=J347,"Yes","No"))</x:f>
        <x:v>Yes</x:v>
      </x:c>
      <x:c r="L347" t="str"/>
      <x:c r="M347" s="12" t="n">
        <x:v>46091</x:v>
      </x:c>
      <x:c r="N347" s="12" t="n">
        <x:v>46093</x:v>
      </x:c>
      <x:c r="O347" t="str">
        <x:v>No</x:v>
      </x:c>
      <x:c r="P347" t="str">
        <x:v>Standard</x:v>
      </x:c>
    </x:row>
    <x:row r="348">
      <x:c r="A348" t="str">
        <x:v>FIL-20260347</x:v>
      </x:c>
      <x:c r="B348" t="str">
        <x:v>Summit Compliance LLC</x:v>
      </x:c>
      <x:c r="C348" t="str">
        <x:v>LLC</x:v>
      </x:c>
      <x:c r="D348" t="str">
        <x:v>North Carolina</x:v>
      </x:c>
      <x:c r="E348" t="str">
        <x:v>Principal Address Update</x:v>
      </x:c>
      <x:c r="F348" t="str">
        <x:v>Online</x:v>
      </x:c>
      <x:c r="G348" t="str">
        <x:v>North Carolina Processing Team</x:v>
      </x:c>
      <x:c r="H348" t="str">
        <x:v>Completed</x:v>
      </x:c>
      <x:c r="I348" t="n">
        <x:v>7</x:v>
      </x:c>
      <x:c r="J348" t="n">
        <x:v>4</x:v>
      </x:c>
      <x:c r="K348" t="str">
        <x:f>IF(OR(H348="Pending",H348="Processing"),"Open",IF(I348&lt;=J348,"Yes","No"))</x:f>
        <x:v>No</x:v>
      </x:c>
      <x:c r="L348" t="str"/>
      <x:c r="M348" s="12" t="n">
        <x:v>46062</x:v>
      </x:c>
      <x:c r="N348" s="12" t="n">
        <x:v>46069</x:v>
      </x:c>
      <x:c r="O348" t="str">
        <x:v>No</x:v>
      </x:c>
      <x:c r="P348" t="str">
        <x:v>Standard</x:v>
      </x:c>
    </x:row>
    <x:row r="349">
      <x:c r="A349" t="str">
        <x:v>FIL-20260348</x:v>
      </x:c>
      <x:c r="B349" t="str">
        <x:v>Sterling Management PLLC</x:v>
      </x:c>
      <x:c r="C349" t="str">
        <x:v>PLLC</x:v>
      </x:c>
      <x:c r="D349" t="str">
        <x:v>Washington D.C.</x:v>
      </x:c>
      <x:c r="E349" t="str">
        <x:v>Conversion Filing</x:v>
      </x:c>
      <x:c r="F349" t="str">
        <x:v>Mail</x:v>
      </x:c>
      <x:c r="G349" t="str">
        <x:v>DC Compliance Team</x:v>
      </x:c>
      <x:c r="H349" t="str">
        <x:v>Completed</x:v>
      </x:c>
      <x:c r="I349" t="n">
        <x:v>1</x:v>
      </x:c>
      <x:c r="J349" t="n">
        <x:v>5</x:v>
      </x:c>
      <x:c r="K349" t="str">
        <x:f>IF(OR(H349="Pending",H349="Processing"),"Open",IF(I349&lt;=J349,"Yes","No"))</x:f>
        <x:v>Yes</x:v>
      </x:c>
      <x:c r="L349" t="str"/>
      <x:c r="M349" s="12" t="n">
        <x:v>46167</x:v>
      </x:c>
      <x:c r="N349" s="12" t="n">
        <x:v>46168</x:v>
      </x:c>
      <x:c r="O349" t="str">
        <x:v>Yes</x:v>
      </x:c>
      <x:c r="P349" t="str">
        <x:v>Standard</x:v>
      </x:c>
    </x:row>
    <x:row r="350">
      <x:c r="A350" t="str">
        <x:v>FIL-20260349</x:v>
      </x:c>
      <x:c r="B350" t="str">
        <x:v>Sterling Analytics L.L.C.</x:v>
      </x:c>
      <x:c r="C350" t="str">
        <x:v>LLC</x:v>
      </x:c>
      <x:c r="D350" t="str">
        <x:v>Illinois</x:v>
      </x:c>
      <x:c r="E350" t="str">
        <x:v>LLC Amendment</x:v>
      </x:c>
      <x:c r="F350" t="str">
        <x:v>Online</x:v>
      </x:c>
      <x:c r="G350" t="str">
        <x:v>Illinois Online Fulfillment</x:v>
      </x:c>
      <x:c r="H350" t="str">
        <x:v>Completed</x:v>
      </x:c>
      <x:c r="I350" t="n">
        <x:v>3</x:v>
      </x:c>
      <x:c r="J350" t="n">
        <x:v>4</x:v>
      </x:c>
      <x:c r="K350" t="str">
        <x:f>IF(OR(H350="Pending",H350="Processing"),"Open",IF(I350&lt;=J350,"Yes","No"))</x:f>
        <x:v>Yes</x:v>
      </x:c>
      <x:c r="L350" t="str"/>
      <x:c r="M350" s="12" t="n">
        <x:v>46079</x:v>
      </x:c>
      <x:c r="N350" s="12" t="n">
        <x:v>46082</x:v>
      </x:c>
      <x:c r="O350" t="str">
        <x:v>Yes</x:v>
      </x:c>
      <x:c r="P350" t="str">
        <x:v>Standard</x:v>
      </x:c>
    </x:row>
    <x:row r="351">
      <x:c r="A351" t="str">
        <x:v>FIL-20260350</x:v>
      </x:c>
      <x:c r="B351" t="str">
        <x:v>Legacy Properties Foundation Inc.</x:v>
      </x:c>
      <x:c r="C351" t="str">
        <x:v>Nonprofit Corporation</x:v>
      </x:c>
      <x:c r="D351" t="str">
        <x:v>North Carolina</x:v>
      </x:c>
      <x:c r="E351" t="str">
        <x:v>Registered Agent Change</x:v>
      </x:c>
      <x:c r="F351" t="str">
        <x:v>Online</x:v>
      </x:c>
      <x:c r="G351" t="str">
        <x:v>North Carolina Processing Team</x:v>
      </x:c>
      <x:c r="H351" t="str">
        <x:v>Processing</x:v>
      </x:c>
      <x:c r="I351" t="n">
        <x:v>4</x:v>
      </x:c>
      <x:c r="J351" t="n">
        <x:v>4</x:v>
      </x:c>
      <x:c r="K351" t="str">
        <x:f>IF(OR(H351="Pending",H351="Processing"),"Open",IF(I351&lt;=J351,"Yes","No"))</x:f>
        <x:v>Open</x:v>
      </x:c>
      <x:c r="L351" t="str"/>
      <x:c r="M351" s="12" t="n">
        <x:v>46170</x:v>
      </x:c>
      <x:c r="N351" s="12"/>
      <x:c r="O351" t="str">
        <x:v>No</x:v>
      </x:c>
      <x:c r="P351" t="str">
        <x:v>Standard</x:v>
      </x:c>
    </x:row>
    <x:row r="352">
      <x:c r="A352" t="str">
        <x:v>FIL-20260351</x:v>
      </x:c>
      <x:c r="B352" t="str">
        <x:v>Blue Ridge Logistics L.L.C.</x:v>
      </x:c>
      <x:c r="C352" t="str">
        <x:v>LLC</x:v>
      </x:c>
      <x:c r="D352" t="str">
        <x:v>New York</x:v>
      </x:c>
      <x:c r="E352" t="str">
        <x:v>Foreign LLC Qualification</x:v>
      </x:c>
      <x:c r="F352" t="str">
        <x:v>Mail</x:v>
      </x:c>
      <x:c r="G352" t="str">
        <x:v>Northeast Processing Team</x:v>
      </x:c>
      <x:c r="H352" t="str">
        <x:v>Rejected</x:v>
      </x:c>
      <x:c r="I352" t="n">
        <x:v>9</x:v>
      </x:c>
      <x:c r="J352" t="n">
        <x:v>7</x:v>
      </x:c>
      <x:c r="K352" t="str">
        <x:f>IF(OR(H352="Pending",H352="Processing"),"Open",IF(I352&lt;=J352,"Yes","No"))</x:f>
        <x:v>No</x:v>
      </x:c>
      <x:c r="L352" t="str">
        <x:v>Filing Fee Error</x:v>
      </x:c>
      <x:c r="M352" s="12" t="n">
        <x:v>46129</x:v>
      </x:c>
      <x:c r="N352" s="12"/>
      <x:c r="O352" t="str">
        <x:v>Yes</x:v>
      </x:c>
      <x:c r="P352" t="str">
        <x:v>High</x:v>
      </x:c>
    </x:row>
    <x:row r="353">
      <x:c r="A353" t="str">
        <x:v>FIL-20260352</x:v>
      </x:c>
      <x:c r="B353" t="str">
        <x:v>BrightPath Properties Corporation</x:v>
      </x:c>
      <x:c r="C353" t="str">
        <x:v>Profit Corporation</x:v>
      </x:c>
      <x:c r="D353" t="str">
        <x:v>Maryland</x:v>
      </x:c>
      <x:c r="E353" t="str">
        <x:v>Foreign Corporation Qualification</x:v>
      </x:c>
      <x:c r="F353" t="str">
        <x:v>Mail</x:v>
      </x:c>
      <x:c r="G353" t="str">
        <x:v>Maryland Processing Team</x:v>
      </x:c>
      <x:c r="H353" t="str">
        <x:v>Completed</x:v>
      </x:c>
      <x:c r="I353" t="n">
        <x:v>3</x:v>
      </x:c>
      <x:c r="J353" t="n">
        <x:v>6</x:v>
      </x:c>
      <x:c r="K353" t="str">
        <x:f>IF(OR(H353="Pending",H353="Processing"),"Open",IF(I353&lt;=J353,"Yes","No"))</x:f>
        <x:v>Yes</x:v>
      </x:c>
      <x:c r="L353" t="str"/>
      <x:c r="M353" s="12" t="n">
        <x:v>46153</x:v>
      </x:c>
      <x:c r="N353" s="12" t="n">
        <x:v>46156</x:v>
      </x:c>
      <x:c r="O353" t="str">
        <x:v>No</x:v>
      </x:c>
      <x:c r="P353" t="str">
        <x:v>Standard</x:v>
      </x:c>
    </x:row>
    <x:row r="354">
      <x:c r="A354" t="str">
        <x:v>FIL-20260353</x:v>
      </x:c>
      <x:c r="B354" t="str">
        <x:v>Harbor Ventures LLP</x:v>
      </x:c>
      <x:c r="C354" t="str">
        <x:v>LLP</x:v>
      </x:c>
      <x:c r="D354" t="str">
        <x:v>Georgia</x:v>
      </x:c>
      <x:c r="E354" t="str">
        <x:v>Limited Liability Partnership Registration</x:v>
      </x:c>
      <x:c r="F354" t="str">
        <x:v>Online</x:v>
      </x:c>
      <x:c r="G354" t="str">
        <x:v>Southeast Processing Team</x:v>
      </x:c>
      <x:c r="H354" t="str">
        <x:v>Completed</x:v>
      </x:c>
      <x:c r="I354" t="n">
        <x:v>5</x:v>
      </x:c>
      <x:c r="J354" t="n">
        <x:v>4</x:v>
      </x:c>
      <x:c r="K354" t="str">
        <x:f>IF(OR(H354="Pending",H354="Processing"),"Open",IF(I354&lt;=J354,"Yes","No"))</x:f>
        <x:v>No</x:v>
      </x:c>
      <x:c r="L354" t="str"/>
      <x:c r="M354" s="12" t="n">
        <x:v>46049</x:v>
      </x:c>
      <x:c r="N354" s="12" t="n">
        <x:v>46054</x:v>
      </x:c>
      <x:c r="O354" t="str">
        <x:v>No</x:v>
      </x:c>
      <x:c r="P354" t="str">
        <x:v>Standard</x:v>
      </x:c>
    </x:row>
    <x:row r="355">
      <x:c r="A355" t="str">
        <x:v>FIL-20260354</x:v>
      </x:c>
      <x:c r="B355" t="str">
        <x:v>Harbor Properties LLC</x:v>
      </x:c>
      <x:c r="C355" t="str">
        <x:v>LLC</x:v>
      </x:c>
      <x:c r="D355" t="str">
        <x:v>Delaware</x:v>
      </x:c>
      <x:c r="E355" t="str">
        <x:v>Statement of Domestication</x:v>
      </x:c>
      <x:c r="F355" t="str">
        <x:v>Mail</x:v>
      </x:c>
      <x:c r="G355" t="str">
        <x:v>Delaware Processing Team</x:v>
      </x:c>
      <x:c r="H355" t="str">
        <x:v>Rejected</x:v>
      </x:c>
      <x:c r="I355" t="n">
        <x:v>7</x:v>
      </x:c>
      <x:c r="J355" t="n">
        <x:v>4</x:v>
      </x:c>
      <x:c r="K355" t="str">
        <x:f>IF(OR(H355="Pending",H355="Processing"),"Open",IF(I355&lt;=J355,"Yes","No"))</x:f>
        <x:v>No</x:v>
      </x:c>
      <x:c r="L355" t="str">
        <x:v>Incorrect Suffix</x:v>
      </x:c>
      <x:c r="M355" s="12" t="n">
        <x:v>46113</x:v>
      </x:c>
      <x:c r="N355" s="12"/>
      <x:c r="O355" t="str">
        <x:v>Yes</x:v>
      </x:c>
      <x:c r="P355" t="str">
        <x:v>Standard</x:v>
      </x:c>
    </x:row>
    <x:row r="356">
      <x:c r="A356" t="str">
        <x:v>FIL-20260355</x:v>
      </x:c>
      <x:c r="B356" t="str">
        <x:v>Horizon Healthcare PLLC</x:v>
      </x:c>
      <x:c r="C356" t="str">
        <x:v>PLLC</x:v>
      </x:c>
      <x:c r="D356" t="str">
        <x:v>North Carolina</x:v>
      </x:c>
      <x:c r="E356" t="str">
        <x:v>Principal Address Update</x:v>
      </x:c>
      <x:c r="F356" t="str">
        <x:v>Mail</x:v>
      </x:c>
      <x:c r="G356" t="str">
        <x:v>North Carolina Processing Team</x:v>
      </x:c>
      <x:c r="H356" t="str">
        <x:v>Pending</x:v>
      </x:c>
      <x:c r="I356" t="n">
        <x:v>7</x:v>
      </x:c>
      <x:c r="J356" t="n">
        <x:v>6</x:v>
      </x:c>
      <x:c r="K356" t="str">
        <x:f>IF(OR(H356="Pending",H356="Processing"),"Open",IF(I356&lt;=J356,"Yes","No"))</x:f>
        <x:v>Open</x:v>
      </x:c>
      <x:c r="L356" t="str"/>
      <x:c r="M356" s="12" t="n">
        <x:v>46032</x:v>
      </x:c>
      <x:c r="N356" s="12"/>
      <x:c r="O356" t="str">
        <x:v>No</x:v>
      </x:c>
      <x:c r="P356" t="str">
        <x:v>Standard</x:v>
      </x:c>
    </x:row>
    <x:row r="357">
      <x:c r="A357" t="str">
        <x:v>FIL-20260356</x:v>
      </x:c>
      <x:c r="B357" t="str">
        <x:v>Pioneer Properties</x:v>
      </x:c>
      <x:c r="C357" t="str">
        <x:v>Fictitious Name</x:v>
      </x:c>
      <x:c r="D357" t="str">
        <x:v>California</x:v>
      </x:c>
      <x:c r="E357" t="str">
        <x:v>Fictitious Name Registration</x:v>
      </x:c>
      <x:c r="F357" t="str">
        <x:v>Mail</x:v>
      </x:c>
      <x:c r="G357" t="str">
        <x:v>West Coast Processing Team</x:v>
      </x:c>
      <x:c r="H357" t="str">
        <x:v>Completed</x:v>
      </x:c>
      <x:c r="I357" t="n">
        <x:v>6</x:v>
      </x:c>
      <x:c r="J357" t="n">
        <x:v>7</x:v>
      </x:c>
      <x:c r="K357" t="str">
        <x:f>IF(OR(H357="Pending",H357="Processing"),"Open",IF(I357&lt;=J357,"Yes","No"))</x:f>
        <x:v>Yes</x:v>
      </x:c>
      <x:c r="L357" t="str"/>
      <x:c r="M357" s="12" t="n">
        <x:v>46090</x:v>
      </x:c>
      <x:c r="N357" s="12" t="n">
        <x:v>46096</x:v>
      </x:c>
      <x:c r="O357" t="str">
        <x:v>No</x:v>
      </x:c>
      <x:c r="P357" t="str">
        <x:v>Standard</x:v>
      </x:c>
    </x:row>
    <x:row r="358">
      <x:c r="A358" t="str">
        <x:v>FIL-20260357</x:v>
      </x:c>
      <x:c r="B358" t="str">
        <x:v>Pioneer Services Inc.</x:v>
      </x:c>
      <x:c r="C358" t="str">
        <x:v>Profit Corporation</x:v>
      </x:c>
      <x:c r="D358" t="str">
        <x:v>Washington D.C.</x:v>
      </x:c>
      <x:c r="E358" t="str">
        <x:v>Conversion Filing</x:v>
      </x:c>
      <x:c r="F358" t="str">
        <x:v>Mail</x:v>
      </x:c>
      <x:c r="G358" t="str">
        <x:v>DC Compliance Team</x:v>
      </x:c>
      <x:c r="H358" t="str">
        <x:v>Completed</x:v>
      </x:c>
      <x:c r="I358" t="n">
        <x:v>1</x:v>
      </x:c>
      <x:c r="J358" t="n">
        <x:v>5</x:v>
      </x:c>
      <x:c r="K358" t="str">
        <x:f>IF(OR(H358="Pending",H358="Processing"),"Open",IF(I358&lt;=J358,"Yes","No"))</x:f>
        <x:v>Yes</x:v>
      </x:c>
      <x:c r="L358" t="str"/>
      <x:c r="M358" s="12" t="n">
        <x:v>46039</x:v>
      </x:c>
      <x:c r="N358" s="12" t="n">
        <x:v>46040</x:v>
      </x:c>
      <x:c r="O358" t="str">
        <x:v>Yes</x:v>
      </x:c>
      <x:c r="P358" t="str">
        <x:v>High</x:v>
      </x:c>
    </x:row>
    <x:row r="359">
      <x:c r="A359" t="str">
        <x:v>FIL-20260358</x:v>
      </x:c>
      <x:c r="B359" t="str">
        <x:v>Evergreen Management Corporation</x:v>
      </x:c>
      <x:c r="C359" t="str">
        <x:v>Profit Corporation</x:v>
      </x:c>
      <x:c r="D359" t="str">
        <x:v>North Carolina</x:v>
      </x:c>
      <x:c r="E359" t="str">
        <x:v>Foreign Corporation Qualification</x:v>
      </x:c>
      <x:c r="F359" t="str">
        <x:v>Mail</x:v>
      </x:c>
      <x:c r="G359" t="str">
        <x:v>North Carolina Processing Team</x:v>
      </x:c>
      <x:c r="H359" t="str">
        <x:v>Processing</x:v>
      </x:c>
      <x:c r="I359" t="n">
        <x:v>3</x:v>
      </x:c>
      <x:c r="J359" t="n">
        <x:v>6</x:v>
      </x:c>
      <x:c r="K359" t="str">
        <x:f>IF(OR(H359="Pending",H359="Processing"),"Open",IF(I359&lt;=J359,"Yes","No"))</x:f>
        <x:v>Open</x:v>
      </x:c>
      <x:c r="L359" t="str"/>
      <x:c r="M359" s="12" t="n">
        <x:v>46164</x:v>
      </x:c>
      <x:c r="N359" s="12"/>
      <x:c r="O359" t="str">
        <x:v>No</x:v>
      </x:c>
      <x:c r="P359" t="str">
        <x:v>Urgent</x:v>
      </x:c>
    </x:row>
    <x:row r="360">
      <x:c r="A360" t="str">
        <x:v>FIL-20260359</x:v>
      </x:c>
      <x:c r="B360" t="str">
        <x:v>First State Advisors PLLC</x:v>
      </x:c>
      <x:c r="C360" t="str">
        <x:v>PLLC</x:v>
      </x:c>
      <x:c r="D360" t="str">
        <x:v>Florida</x:v>
      </x:c>
      <x:c r="E360" t="str">
        <x:v>PLLC Formation</x:v>
      </x:c>
      <x:c r="F360" t="str">
        <x:v>Online</x:v>
      </x:c>
      <x:c r="G360" t="str">
        <x:v>Florida Online Fulfillment</x:v>
      </x:c>
      <x:c r="H360" t="str">
        <x:v>Completed</x:v>
      </x:c>
      <x:c r="I360" t="n">
        <x:v>7</x:v>
      </x:c>
      <x:c r="J360" t="n">
        <x:v>3</x:v>
      </x:c>
      <x:c r="K360" t="str">
        <x:f>IF(OR(H360="Pending",H360="Processing"),"Open",IF(I360&lt;=J360,"Yes","No"))</x:f>
        <x:v>No</x:v>
      </x:c>
      <x:c r="L360" t="str"/>
      <x:c r="M360" s="12" t="n">
        <x:v>46097</x:v>
      </x:c>
      <x:c r="N360" s="12" t="n">
        <x:v>46104</x:v>
      </x:c>
      <x:c r="O360" t="str">
        <x:v>No</x:v>
      </x:c>
      <x:c r="P360" t="str">
        <x:v>Standard</x:v>
      </x:c>
    </x:row>
    <x:row r="361">
      <x:c r="A361" t="str">
        <x:v>FIL-20260360</x:v>
      </x:c>
      <x:c r="B361" t="str">
        <x:v>Golden Coast Resources LLC</x:v>
      </x:c>
      <x:c r="C361" t="str">
        <x:v>LLC</x:v>
      </x:c>
      <x:c r="D361" t="str">
        <x:v>California</x:v>
      </x:c>
      <x:c r="E361" t="str">
        <x:v>Statement of Domestication</x:v>
      </x:c>
      <x:c r="F361" t="str">
        <x:v>Online</x:v>
      </x:c>
      <x:c r="G361" t="str">
        <x:v>West Coast Processing Team</x:v>
      </x:c>
      <x:c r="H361" t="str">
        <x:v>Completed</x:v>
      </x:c>
      <x:c r="I361" t="n">
        <x:v>6</x:v>
      </x:c>
      <x:c r="J361" t="n">
        <x:v>5</x:v>
      </x:c>
      <x:c r="K361" t="str">
        <x:f>IF(OR(H361="Pending",H361="Processing"),"Open",IF(I361&lt;=J361,"Yes","No"))</x:f>
        <x:v>No</x:v>
      </x:c>
      <x:c r="L361" t="str"/>
      <x:c r="M361" s="12" t="n">
        <x:v>46063</x:v>
      </x:c>
      <x:c r="N361" s="12" t="n">
        <x:v>46069</x:v>
      </x:c>
      <x:c r="O361" t="str">
        <x:v>No</x:v>
      </x:c>
      <x:c r="P361" t="str">
        <x:v>Urgent</x:v>
      </x:c>
    </x:row>
    <x:row r="362">
      <x:c r="A362" t="str">
        <x:v>FIL-20260361</x:v>
      </x:c>
      <x:c r="B362" t="str">
        <x:v>Legacy Studios L.L.C.</x:v>
      </x:c>
      <x:c r="C362" t="str">
        <x:v>LLC</x:v>
      </x:c>
      <x:c r="D362" t="str">
        <x:v>North Carolina</x:v>
      </x:c>
      <x:c r="E362" t="str">
        <x:v>LLC Amendment</x:v>
      </x:c>
      <x:c r="F362" t="str">
        <x:v>Mail</x:v>
      </x:c>
      <x:c r="G362" t="str">
        <x:v>North Carolina Processing Team</x:v>
      </x:c>
      <x:c r="H362" t="str">
        <x:v>Completed</x:v>
      </x:c>
      <x:c r="I362" t="n">
        <x:v>4</x:v>
      </x:c>
      <x:c r="J362" t="n">
        <x:v>6</x:v>
      </x:c>
      <x:c r="K362" t="str">
        <x:f>IF(OR(H362="Pending",H362="Processing"),"Open",IF(I362&lt;=J362,"Yes","No"))</x:f>
        <x:v>Yes</x:v>
      </x:c>
      <x:c r="L362" t="str"/>
      <x:c r="M362" s="12" t="n">
        <x:v>46089</x:v>
      </x:c>
      <x:c r="N362" s="12" t="n">
        <x:v>46093</x:v>
      </x:c>
      <x:c r="O362" t="str">
        <x:v>No</x:v>
      </x:c>
      <x:c r="P362" t="str">
        <x:v>Standard</x:v>
      </x:c>
    </x:row>
    <x:row r="363">
      <x:c r="A363" t="str">
        <x:v>FIL-20260362</x:v>
      </x:c>
      <x:c r="B363" t="str">
        <x:v>Golden Coast Compliance L.L.C.</x:v>
      </x:c>
      <x:c r="C363" t="str">
        <x:v>LLC</x:v>
      </x:c>
      <x:c r="D363" t="str">
        <x:v>North Carolina</x:v>
      </x:c>
      <x:c r="E363" t="str">
        <x:v>LLC Formation</x:v>
      </x:c>
      <x:c r="F363" t="str">
        <x:v>Mail</x:v>
      </x:c>
      <x:c r="G363" t="str">
        <x:v>North Carolina Processing Team</x:v>
      </x:c>
      <x:c r="H363" t="str">
        <x:v>Completed</x:v>
      </x:c>
      <x:c r="I363" t="n">
        <x:v>5</x:v>
      </x:c>
      <x:c r="J363" t="n">
        <x:v>6</x:v>
      </x:c>
      <x:c r="K363" t="str">
        <x:f>IF(OR(H363="Pending",H363="Processing"),"Open",IF(I363&lt;=J363,"Yes","No"))</x:f>
        <x:v>Yes</x:v>
      </x:c>
      <x:c r="L363" t="str"/>
      <x:c r="M363" s="12" t="n">
        <x:v>46056</x:v>
      </x:c>
      <x:c r="N363" s="12" t="n">
        <x:v>46061</x:v>
      </x:c>
      <x:c r="O363" t="str">
        <x:v>No</x:v>
      </x:c>
      <x:c r="P363" t="str">
        <x:v>High</x:v>
      </x:c>
    </x:row>
    <x:row r="364">
      <x:c r="A364" t="str">
        <x:v>FIL-20260363</x:v>
      </x:c>
      <x:c r="B364" t="str">
        <x:v>Horizon Consulting Corporation</x:v>
      </x:c>
      <x:c r="C364" t="str">
        <x:v>Profit Corporation</x:v>
      </x:c>
      <x:c r="D364" t="str">
        <x:v>North Carolina</x:v>
      </x:c>
      <x:c r="E364" t="str">
        <x:v>Foreign Corporation Qualification</x:v>
      </x:c>
      <x:c r="F364" t="str">
        <x:v>Online</x:v>
      </x:c>
      <x:c r="G364" t="str">
        <x:v>North Carolina Processing Team</x:v>
      </x:c>
      <x:c r="H364" t="str">
        <x:v>Completed</x:v>
      </x:c>
      <x:c r="I364" t="n">
        <x:v>4</x:v>
      </x:c>
      <x:c r="J364" t="n">
        <x:v>4</x:v>
      </x:c>
      <x:c r="K364" t="str">
        <x:f>IF(OR(H364="Pending",H364="Processing"),"Open",IF(I364&lt;=J364,"Yes","No"))</x:f>
        <x:v>Yes</x:v>
      </x:c>
      <x:c r="L364" t="str"/>
      <x:c r="M364" s="12" t="n">
        <x:v>46116</x:v>
      </x:c>
      <x:c r="N364" s="12" t="n">
        <x:v>46120</x:v>
      </x:c>
      <x:c r="O364" t="str">
        <x:v>No</x:v>
      </x:c>
      <x:c r="P364" t="str">
        <x:v>Standard</x:v>
      </x:c>
    </x:row>
    <x:row r="365">
      <x:c r="A365" t="str">
        <x:v>FIL-20260364</x:v>
      </x:c>
      <x:c r="B365" t="str">
        <x:v>NorthStar Technologies Institute Inc.</x:v>
      </x:c>
      <x:c r="C365" t="str">
        <x:v>Nonprofit Corporation</x:v>
      </x:c>
      <x:c r="D365" t="str">
        <x:v>Florida</x:v>
      </x:c>
      <x:c r="E365" t="str">
        <x:v>Principal Address Update</x:v>
      </x:c>
      <x:c r="F365" t="str">
        <x:v>Online</x:v>
      </x:c>
      <x:c r="G365" t="str">
        <x:v>Florida Online Fulfillment</x:v>
      </x:c>
      <x:c r="H365" t="str">
        <x:v>Completed</x:v>
      </x:c>
      <x:c r="I365" t="n">
        <x:v>2</x:v>
      </x:c>
      <x:c r="J365" t="n">
        <x:v>3</x:v>
      </x:c>
      <x:c r="K365" t="str">
        <x:f>IF(OR(H365="Pending",H365="Processing"),"Open",IF(I365&lt;=J365,"Yes","No"))</x:f>
        <x:v>Yes</x:v>
      </x:c>
      <x:c r="L365" t="str"/>
      <x:c r="M365" s="12" t="n">
        <x:v>46070</x:v>
      </x:c>
      <x:c r="N365" s="12" t="n">
        <x:v>46072</x:v>
      </x:c>
      <x:c r="O365" t="str">
        <x:v>No</x:v>
      </x:c>
      <x:c r="P365" t="str">
        <x:v>Standard</x:v>
      </x:c>
    </x:row>
    <x:row r="366">
      <x:c r="A366" t="str">
        <x:v>FIL-20260365</x:v>
      </x:c>
      <x:c r="B366" t="str">
        <x:v>Sterling Services L.P.</x:v>
      </x:c>
      <x:c r="C366" t="str">
        <x:v>LP</x:v>
      </x:c>
      <x:c r="D366" t="str">
        <x:v>Florida</x:v>
      </x:c>
      <x:c r="E366" t="str">
        <x:v>Merger Filing</x:v>
      </x:c>
      <x:c r="F366" t="str">
        <x:v>OTC</x:v>
      </x:c>
      <x:c r="G366" t="str">
        <x:v>Florida OTC Fulfillment</x:v>
      </x:c>
      <x:c r="H366" t="str">
        <x:v>Completed</x:v>
      </x:c>
      <x:c r="I366" t="n">
        <x:v>2</x:v>
      </x:c>
      <x:c r="J366" t="n">
        <x:v>3</x:v>
      </x:c>
      <x:c r="K366" t="str">
        <x:f>IF(OR(H366="Pending",H366="Processing"),"Open",IF(I366&lt;=J366,"Yes","No"))</x:f>
        <x:v>Yes</x:v>
      </x:c>
      <x:c r="L366" t="str"/>
      <x:c r="M366" s="12" t="n">
        <x:v>46082</x:v>
      </x:c>
      <x:c r="N366" s="12" t="n">
        <x:v>46084</x:v>
      </x:c>
      <x:c r="O366" t="str">
        <x:v>No</x:v>
      </x:c>
      <x:c r="P366" t="str">
        <x:v>Standard</x:v>
      </x:c>
    </x:row>
    <x:row r="367">
      <x:c r="A367" t="str">
        <x:v>FIL-20260366</x:v>
      </x:c>
      <x:c r="B367" t="str">
        <x:v>Liberty Technologies Corp.</x:v>
      </x:c>
      <x:c r="C367" t="str">
        <x:v>Profit Corporation</x:v>
      </x:c>
      <x:c r="D367" t="str">
        <x:v>Delaware</x:v>
      </x:c>
      <x:c r="E367" t="str">
        <x:v>Profit Corporation Formation</x:v>
      </x:c>
      <x:c r="F367" t="str">
        <x:v>Mail</x:v>
      </x:c>
      <x:c r="G367" t="str">
        <x:v>Delaware Processing Team</x:v>
      </x:c>
      <x:c r="H367" t="str">
        <x:v>Completed</x:v>
      </x:c>
      <x:c r="I367" t="n">
        <x:v>1</x:v>
      </x:c>
      <x:c r="J367" t="n">
        <x:v>4</x:v>
      </x:c>
      <x:c r="K367" t="str">
        <x:f>IF(OR(H367="Pending",H367="Processing"),"Open",IF(I367&lt;=J367,"Yes","No"))</x:f>
        <x:v>Yes</x:v>
      </x:c>
      <x:c r="L367" t="str"/>
      <x:c r="M367" s="12" t="n">
        <x:v>46139</x:v>
      </x:c>
      <x:c r="N367" s="12" t="n">
        <x:v>46140</x:v>
      </x:c>
      <x:c r="O367" t="str">
        <x:v>Yes</x:v>
      </x:c>
      <x:c r="P367" t="str">
        <x:v>Standard</x:v>
      </x:c>
    </x:row>
    <x:row r="368">
      <x:c r="A368" t="str">
        <x:v>FIL-20260367</x:v>
      </x:c>
      <x:c r="B368" t="str">
        <x:v>Sunrise Advisors L.P.</x:v>
      </x:c>
      <x:c r="C368" t="str">
        <x:v>LP</x:v>
      </x:c>
      <x:c r="D368" t="str">
        <x:v>Georgia</x:v>
      </x:c>
      <x:c r="E368" t="str">
        <x:v>Foreign LP Qualification</x:v>
      </x:c>
      <x:c r="F368" t="str">
        <x:v>Online</x:v>
      </x:c>
      <x:c r="G368" t="str">
        <x:v>Southeast Processing Team</x:v>
      </x:c>
      <x:c r="H368" t="str">
        <x:v>Rejected</x:v>
      </x:c>
      <x:c r="I368" t="n">
        <x:v>6</x:v>
      </x:c>
      <x:c r="J368" t="n">
        <x:v>4</x:v>
      </x:c>
      <x:c r="K368" t="str">
        <x:f>IF(OR(H368="Pending",H368="Processing"),"Open",IF(I368&lt;=J368,"Yes","No"))</x:f>
        <x:v>No</x:v>
      </x:c>
      <x:c r="L368" t="str">
        <x:v>Missing Signature</x:v>
      </x:c>
      <x:c r="M368" s="12" t="n">
        <x:v>46122</x:v>
      </x:c>
      <x:c r="N368" s="12"/>
      <x:c r="O368" t="str">
        <x:v>No</x:v>
      </x:c>
      <x:c r="P368" t="str">
        <x:v>Standard</x:v>
      </x:c>
    </x:row>
    <x:row r="369">
      <x:c r="A369" t="str">
        <x:v>FIL-20260368</x:v>
      </x:c>
      <x:c r="B369" t="str">
        <x:v>Crescent Compliance Institute Inc.</x:v>
      </x:c>
      <x:c r="C369" t="str">
        <x:v>Nonprofit Corporation</x:v>
      </x:c>
      <x:c r="D369" t="str">
        <x:v>Delaware</x:v>
      </x:c>
      <x:c r="E369" t="str">
        <x:v>Nonprofit Corporation Formation</x:v>
      </x:c>
      <x:c r="F369" t="str">
        <x:v>Online</x:v>
      </x:c>
      <x:c r="G369" t="str">
        <x:v>Delaware Processing Team</x:v>
      </x:c>
      <x:c r="H369" t="str">
        <x:v>Completed</x:v>
      </x:c>
      <x:c r="I369" t="n">
        <x:v>5</x:v>
      </x:c>
      <x:c r="J369" t="n">
        <x:v>2</x:v>
      </x:c>
      <x:c r="K369" t="str">
        <x:f>IF(OR(H369="Pending",H369="Processing"),"Open",IF(I369&lt;=J369,"Yes","No"))</x:f>
        <x:v>No</x:v>
      </x:c>
      <x:c r="L369" t="str"/>
      <x:c r="M369" s="12" t="n">
        <x:v>46095</x:v>
      </x:c>
      <x:c r="N369" s="12" t="n">
        <x:v>46100</x:v>
      </x:c>
      <x:c r="O369" t="str">
        <x:v>Yes</x:v>
      </x:c>
      <x:c r="P369" t="str">
        <x:v>Standard</x:v>
      </x:c>
    </x:row>
    <x:row r="370">
      <x:c r="A370" t="str">
        <x:v>FIL-20260369</x:v>
      </x:c>
      <x:c r="B370" t="str">
        <x:v>Sterling Solutions LLC</x:v>
      </x:c>
      <x:c r="C370" t="str">
        <x:v>LLC</x:v>
      </x:c>
      <x:c r="D370" t="str">
        <x:v>Florida</x:v>
      </x:c>
      <x:c r="E370" t="str">
        <x:v>LLC Amendment</x:v>
      </x:c>
      <x:c r="F370" t="str">
        <x:v>OTC</x:v>
      </x:c>
      <x:c r="G370" t="str">
        <x:v>Florida OTC Fulfillment</x:v>
      </x:c>
      <x:c r="H370" t="str">
        <x:v>Processing</x:v>
      </x:c>
      <x:c r="I370" t="n">
        <x:v>1</x:v>
      </x:c>
      <x:c r="J370" t="n">
        <x:v>3</x:v>
      </x:c>
      <x:c r="K370" t="str">
        <x:f>IF(OR(H370="Pending",H370="Processing"),"Open",IF(I370&lt;=J370,"Yes","No"))</x:f>
        <x:v>Open</x:v>
      </x:c>
      <x:c r="L370" t="str"/>
      <x:c r="M370" s="12" t="n">
        <x:v>46138</x:v>
      </x:c>
      <x:c r="N370" s="12"/>
      <x:c r="O370" t="str">
        <x:v>No</x:v>
      </x:c>
      <x:c r="P370" t="str">
        <x:v>Standard</x:v>
      </x:c>
    </x:row>
    <x:row r="371">
      <x:c r="A371" t="str">
        <x:v>FIL-20260370</x:v>
      </x:c>
      <x:c r="B371" t="str">
        <x:v>First State Ventures L.L.C.</x:v>
      </x:c>
      <x:c r="C371" t="str">
        <x:v>LLC</x:v>
      </x:c>
      <x:c r="D371" t="str">
        <x:v>Washington D.C.</x:v>
      </x:c>
      <x:c r="E371" t="str">
        <x:v>LLC Formation</x:v>
      </x:c>
      <x:c r="F371" t="str">
        <x:v>Expedited</x:v>
      </x:c>
      <x:c r="G371" t="str">
        <x:v>DC Compliance Team</x:v>
      </x:c>
      <x:c r="H371" t="str">
        <x:v>Rejected</x:v>
      </x:c>
      <x:c r="I371" t="n">
        <x:v>2</x:v>
      </x:c>
      <x:c r="J371" t="n">
        <x:v>1</x:v>
      </x:c>
      <x:c r="K371" t="str">
        <x:f>IF(OR(H371="Pending",H371="Processing"),"Open",IF(I371&lt;=J371,"Yes","No"))</x:f>
        <x:v>No</x:v>
      </x:c>
      <x:c r="L371" t="str">
        <x:v>Filing Fee Error</x:v>
      </x:c>
      <x:c r="M371" s="12" t="n">
        <x:v>46037</x:v>
      </x:c>
      <x:c r="N371" s="12"/>
      <x:c r="O371" t="str">
        <x:v>Yes</x:v>
      </x:c>
      <x:c r="P371" t="str">
        <x:v>Standard</x:v>
      </x:c>
    </x:row>
    <x:row r="372">
      <x:c r="A372" t="str">
        <x:v>FIL-20260371</x:v>
      </x:c>
      <x:c r="B372" t="str">
        <x:v>BrightPath Solutions L.L.C.</x:v>
      </x:c>
      <x:c r="C372" t="str">
        <x:v>LLC</x:v>
      </x:c>
      <x:c r="D372" t="str">
        <x:v>Delaware</x:v>
      </x:c>
      <x:c r="E372" t="str">
        <x:v>LLC Amendment</x:v>
      </x:c>
      <x:c r="F372" t="str">
        <x:v>Online</x:v>
      </x:c>
      <x:c r="G372" t="str">
        <x:v>Delaware Processing Team</x:v>
      </x:c>
      <x:c r="H372" t="str">
        <x:v>Completed</x:v>
      </x:c>
      <x:c r="I372" t="n">
        <x:v>3</x:v>
      </x:c>
      <x:c r="J372" t="n">
        <x:v>2</x:v>
      </x:c>
      <x:c r="K372" t="str">
        <x:f>IF(OR(H372="Pending",H372="Processing"),"Open",IF(I372&lt;=J372,"Yes","No"))</x:f>
        <x:v>No</x:v>
      </x:c>
      <x:c r="L372" t="str"/>
      <x:c r="M372" s="12" t="n">
        <x:v>46038</x:v>
      </x:c>
      <x:c r="N372" s="12" t="n">
        <x:v>46041</x:v>
      </x:c>
      <x:c r="O372" t="str">
        <x:v>Yes</x:v>
      </x:c>
      <x:c r="P372" t="str">
        <x:v>High</x:v>
      </x:c>
    </x:row>
    <x:row r="373">
      <x:c r="A373" t="str">
        <x:v>FIL-20260372</x:v>
      </x:c>
      <x:c r="B373" t="str">
        <x:v>Harbor Studios Institute Inc.</x:v>
      </x:c>
      <x:c r="C373" t="str">
        <x:v>Nonprofit Corporation</x:v>
      </x:c>
      <x:c r="D373" t="str">
        <x:v>Maryland</x:v>
      </x:c>
      <x:c r="E373" t="str">
        <x:v>Annual Report</x:v>
      </x:c>
      <x:c r="F373" t="str">
        <x:v>Online</x:v>
      </x:c>
      <x:c r="G373" t="str">
        <x:v>Maryland Processing Team</x:v>
      </x:c>
      <x:c r="H373" t="str">
        <x:v>Completed</x:v>
      </x:c>
      <x:c r="I373" t="n">
        <x:v>7</x:v>
      </x:c>
      <x:c r="J373" t="n">
        <x:v>4</x:v>
      </x:c>
      <x:c r="K373" t="str">
        <x:f>IF(OR(H373="Pending",H373="Processing"),"Open",IF(I373&lt;=J373,"Yes","No"))</x:f>
        <x:v>No</x:v>
      </x:c>
      <x:c r="L373" t="str"/>
      <x:c r="M373" s="12" t="n">
        <x:v>46117</x:v>
      </x:c>
      <x:c r="N373" s="12" t="n">
        <x:v>46124</x:v>
      </x:c>
      <x:c r="O373" t="str">
        <x:v>No</x:v>
      </x:c>
      <x:c r="P373" t="str">
        <x:v>Standard</x:v>
      </x:c>
    </x:row>
    <x:row r="374">
      <x:c r="A374" t="str">
        <x:v>FIL-20260373</x:v>
      </x:c>
      <x:c r="B374" t="str">
        <x:v>Sunrise Resources L.L.C.</x:v>
      </x:c>
      <x:c r="C374" t="str">
        <x:v>LLC</x:v>
      </x:c>
      <x:c r="D374" t="str">
        <x:v>Florida</x:v>
      </x:c>
      <x:c r="E374" t="str">
        <x:v>LLC Formation</x:v>
      </x:c>
      <x:c r="F374" t="str">
        <x:v>OTC</x:v>
      </x:c>
      <x:c r="G374" t="str">
        <x:v>Florida OTC Fulfillment</x:v>
      </x:c>
      <x:c r="H374" t="str">
        <x:v>Processing</x:v>
      </x:c>
      <x:c r="I374" t="n">
        <x:v>3</x:v>
      </x:c>
      <x:c r="J374" t="n">
        <x:v>3</x:v>
      </x:c>
      <x:c r="K374" t="str">
        <x:f>IF(OR(H374="Pending",H374="Processing"),"Open",IF(I374&lt;=J374,"Yes","No"))</x:f>
        <x:v>Open</x:v>
      </x:c>
      <x:c r="L374" t="str"/>
      <x:c r="M374" s="12" t="n">
        <x:v>46197</x:v>
      </x:c>
      <x:c r="N374" s="12"/>
      <x:c r="O374" t="str">
        <x:v>No</x:v>
      </x:c>
      <x:c r="P374" t="str">
        <x:v>Standard</x:v>
      </x:c>
    </x:row>
    <x:row r="375">
      <x:c r="A375" t="str">
        <x:v>FIL-20260374</x:v>
      </x:c>
      <x:c r="B375" t="str">
        <x:v>Magnolia Ventures L.P.</x:v>
      </x:c>
      <x:c r="C375" t="str">
        <x:v>LP</x:v>
      </x:c>
      <x:c r="D375" t="str">
        <x:v>Illinois</x:v>
      </x:c>
      <x:c r="E375" t="str">
        <x:v>Annual Report</x:v>
      </x:c>
      <x:c r="F375" t="str">
        <x:v>Online</x:v>
      </x:c>
      <x:c r="G375" t="str">
        <x:v>Illinois Online Fulfillment</x:v>
      </x:c>
      <x:c r="H375" t="str">
        <x:v>Completed</x:v>
      </x:c>
      <x:c r="I375" t="n">
        <x:v>5</x:v>
      </x:c>
      <x:c r="J375" t="n">
        <x:v>4</x:v>
      </x:c>
      <x:c r="K375" t="str">
        <x:f>IF(OR(H375="Pending",H375="Processing"),"Open",IF(I375&lt;=J375,"Yes","No"))</x:f>
        <x:v>No</x:v>
      </x:c>
      <x:c r="L375" t="str"/>
      <x:c r="M375" s="12" t="n">
        <x:v>46089</x:v>
      </x:c>
      <x:c r="N375" s="12" t="n">
        <x:v>46094</x:v>
      </x:c>
      <x:c r="O375" t="str">
        <x:v>Yes</x:v>
      </x:c>
      <x:c r="P375" t="str">
        <x:v>Standard</x:v>
      </x:c>
    </x:row>
    <x:row r="376">
      <x:c r="A376" t="str">
        <x:v>FIL-20260375</x:v>
      </x:c>
      <x:c r="B376" t="str">
        <x:v>Pioneer Systems LLC</x:v>
      </x:c>
      <x:c r="C376" t="str">
        <x:v>LLC</x:v>
      </x:c>
      <x:c r="D376" t="str">
        <x:v>Georgia</x:v>
      </x:c>
      <x:c r="E376" t="str">
        <x:v>Foreign LLC Qualification</x:v>
      </x:c>
      <x:c r="F376" t="str">
        <x:v>Online</x:v>
      </x:c>
      <x:c r="G376" t="str">
        <x:v>Southeast Processing Team</x:v>
      </x:c>
      <x:c r="H376" t="str">
        <x:v>Completed</x:v>
      </x:c>
      <x:c r="I376" t="n">
        <x:v>3</x:v>
      </x:c>
      <x:c r="J376" t="n">
        <x:v>4</x:v>
      </x:c>
      <x:c r="K376" t="str">
        <x:f>IF(OR(H376="Pending",H376="Processing"),"Open",IF(I376&lt;=J376,"Yes","No"))</x:f>
        <x:v>Yes</x:v>
      </x:c>
      <x:c r="L376" t="str"/>
      <x:c r="M376" s="12" t="n">
        <x:v>46169</x:v>
      </x:c>
      <x:c r="N376" s="12" t="n">
        <x:v>46172</x:v>
      </x:c>
      <x:c r="O376" t="str">
        <x:v>No</x:v>
      </x:c>
      <x:c r="P376" t="str">
        <x:v>Standard</x:v>
      </x:c>
    </x:row>
    <x:row r="377">
      <x:c r="A377" t="str">
        <x:v>FIL-20260376</x:v>
      </x:c>
      <x:c r="B377" t="str">
        <x:v>Blue Ridge Consulting LP</x:v>
      </x:c>
      <x:c r="C377" t="str">
        <x:v>LP</x:v>
      </x:c>
      <x:c r="D377" t="str">
        <x:v>North Carolina</x:v>
      </x:c>
      <x:c r="E377" t="str">
        <x:v>Limited Partnership Formation</x:v>
      </x:c>
      <x:c r="F377" t="str">
        <x:v>Online</x:v>
      </x:c>
      <x:c r="G377" t="str">
        <x:v>North Carolina Processing Team</x:v>
      </x:c>
      <x:c r="H377" t="str">
        <x:v>Pending</x:v>
      </x:c>
      <x:c r="I377" t="n">
        <x:v>7</x:v>
      </x:c>
      <x:c r="J377" t="n">
        <x:v>4</x:v>
      </x:c>
      <x:c r="K377" t="str">
        <x:f>IF(OR(H377="Pending",H377="Processing"),"Open",IF(I377&lt;=J377,"Yes","No"))</x:f>
        <x:v>Open</x:v>
      </x:c>
      <x:c r="L377" t="str"/>
      <x:c r="M377" s="12" t="n">
        <x:v>46033</x:v>
      </x:c>
      <x:c r="N377" s="12"/>
      <x:c r="O377" t="str">
        <x:v>No</x:v>
      </x:c>
      <x:c r="P377" t="str">
        <x:v>Urgent</x:v>
      </x:c>
    </x:row>
    <x:row r="378">
      <x:c r="A378" t="str">
        <x:v>FIL-20260377</x:v>
      </x:c>
      <x:c r="B378" t="str">
        <x:v>Legacy Logistics Inc.</x:v>
      </x:c>
      <x:c r="C378" t="str">
        <x:v>Profit Corporation</x:v>
      </x:c>
      <x:c r="D378" t="str">
        <x:v>Florida</x:v>
      </x:c>
      <x:c r="E378" t="str">
        <x:v>Profit Corporation Formation</x:v>
      </x:c>
      <x:c r="F378" t="str">
        <x:v>OTC</x:v>
      </x:c>
      <x:c r="G378" t="str">
        <x:v>Florida OTC Fulfillment</x:v>
      </x:c>
      <x:c r="H378" t="str">
        <x:v>Rejected</x:v>
      </x:c>
      <x:c r="I378" t="n">
        <x:v>4</x:v>
      </x:c>
      <x:c r="J378" t="n">
        <x:v>3</x:v>
      </x:c>
      <x:c r="K378" t="str">
        <x:f>IF(OR(H378="Pending",H378="Processing"),"Open",IF(I378&lt;=J378,"Yes","No"))</x:f>
        <x:v>No</x:v>
      </x:c>
      <x:c r="L378" t="str">
        <x:v>Address Mismatch</x:v>
      </x:c>
      <x:c r="M378" s="12" t="n">
        <x:v>46141</x:v>
      </x:c>
      <x:c r="N378" s="12"/>
      <x:c r="O378" t="str">
        <x:v>No</x:v>
      </x:c>
      <x:c r="P378" t="str">
        <x:v>Standard</x:v>
      </x:c>
    </x:row>
    <x:row r="379">
      <x:c r="A379" t="str">
        <x:v>FIL-20260378</x:v>
      </x:c>
      <x:c r="B379" t="str">
        <x:v>Metro Group L.L.P.</x:v>
      </x:c>
      <x:c r="C379" t="str">
        <x:v>LLP</x:v>
      </x:c>
      <x:c r="D379" t="str">
        <x:v>Illinois</x:v>
      </x:c>
      <x:c r="E379" t="str">
        <x:v>Conversion Filing</x:v>
      </x:c>
      <x:c r="F379" t="str">
        <x:v>Mail</x:v>
      </x:c>
      <x:c r="G379" t="str">
        <x:v>Illinois Fulfillment Team</x:v>
      </x:c>
      <x:c r="H379" t="str">
        <x:v>Completed</x:v>
      </x:c>
      <x:c r="I379" t="n">
        <x:v>5</x:v>
      </x:c>
      <x:c r="J379" t="n">
        <x:v>6</x:v>
      </x:c>
      <x:c r="K379" t="str">
        <x:f>IF(OR(H379="Pending",H379="Processing"),"Open",IF(I379&lt;=J379,"Yes","No"))</x:f>
        <x:v>Yes</x:v>
      </x:c>
      <x:c r="L379" t="str"/>
      <x:c r="M379" s="12" t="n">
        <x:v>46126</x:v>
      </x:c>
      <x:c r="N379" s="12" t="n">
        <x:v>46131</x:v>
      </x:c>
      <x:c r="O379" t="str">
        <x:v>Yes</x:v>
      </x:c>
      <x:c r="P379" t="str">
        <x:v>Standard</x:v>
      </x:c>
    </x:row>
    <x:row r="380">
      <x:c r="A380" t="str">
        <x:v>FIL-20260379</x:v>
      </x:c>
      <x:c r="B380" t="str">
        <x:v>Blue Ridge Healthcare L.L.C.</x:v>
      </x:c>
      <x:c r="C380" t="str">
        <x:v>LLC</x:v>
      </x:c>
      <x:c r="D380" t="str">
        <x:v>Illinois</x:v>
      </x:c>
      <x:c r="E380" t="str">
        <x:v>Foreign LLC Qualification</x:v>
      </x:c>
      <x:c r="F380" t="str">
        <x:v>Online</x:v>
      </x:c>
      <x:c r="G380" t="str">
        <x:v>Illinois Online Fulfillment</x:v>
      </x:c>
      <x:c r="H380" t="str">
        <x:v>Completed</x:v>
      </x:c>
      <x:c r="I380" t="n">
        <x:v>6</x:v>
      </x:c>
      <x:c r="J380" t="n">
        <x:v>4</x:v>
      </x:c>
      <x:c r="K380" t="str">
        <x:f>IF(OR(H380="Pending",H380="Processing"),"Open",IF(I380&lt;=J380,"Yes","No"))</x:f>
        <x:v>No</x:v>
      </x:c>
      <x:c r="L380" t="str"/>
      <x:c r="M380" s="12" t="n">
        <x:v>46056</x:v>
      </x:c>
      <x:c r="N380" s="12" t="n">
        <x:v>46062</x:v>
      </x:c>
      <x:c r="O380" t="str">
        <x:v>Yes</x:v>
      </x:c>
      <x:c r="P380" t="str">
        <x:v>Standard</x:v>
      </x:c>
    </x:row>
    <x:row r="381">
      <x:c r="A381" t="str">
        <x:v>FIL-20260380</x:v>
      </x:c>
      <x:c r="B381" t="str">
        <x:v>Blue Ridge Systems PLLC</x:v>
      </x:c>
      <x:c r="C381" t="str">
        <x:v>PLLC</x:v>
      </x:c>
      <x:c r="D381" t="str">
        <x:v>Texas</x:v>
      </x:c>
      <x:c r="E381" t="str">
        <x:v>Registered Agent Change</x:v>
      </x:c>
      <x:c r="F381" t="str">
        <x:v>Mail</x:v>
      </x:c>
      <x:c r="G381" t="str">
        <x:v>Texas Filing Operations</x:v>
      </x:c>
      <x:c r="H381" t="str">
        <x:v>Completed</x:v>
      </x:c>
      <x:c r="I381" t="n">
        <x:v>8</x:v>
      </x:c>
      <x:c r="J381" t="n">
        <x:v>6</x:v>
      </x:c>
      <x:c r="K381" t="str">
        <x:f>IF(OR(H381="Pending",H381="Processing"),"Open",IF(I381&lt;=J381,"Yes","No"))</x:f>
        <x:v>No</x:v>
      </x:c>
      <x:c r="L381" t="str"/>
      <x:c r="M381" s="12" t="n">
        <x:v>46046</x:v>
      </x:c>
      <x:c r="N381" s="12" t="n">
        <x:v>46054</x:v>
      </x:c>
      <x:c r="O381" t="str">
        <x:v>No</x:v>
      </x:c>
      <x:c r="P381" t="str">
        <x:v>High</x:v>
      </x:c>
    </x:row>
    <x:row r="382">
      <x:c r="A382" t="str">
        <x:v>FIL-20260381</x:v>
      </x:c>
      <x:c r="B382" t="str">
        <x:v>BrightPath Technologies LLP</x:v>
      </x:c>
      <x:c r="C382" t="str">
        <x:v>LLP</x:v>
      </x:c>
      <x:c r="D382" t="str">
        <x:v>Florida</x:v>
      </x:c>
      <x:c r="E382" t="str">
        <x:v>Conversion Filing</x:v>
      </x:c>
      <x:c r="F382" t="str">
        <x:v>Online</x:v>
      </x:c>
      <x:c r="G382" t="str">
        <x:v>Florida Online Fulfillment</x:v>
      </x:c>
      <x:c r="H382" t="str">
        <x:v>Completed</x:v>
      </x:c>
      <x:c r="I382" t="n">
        <x:v>4</x:v>
      </x:c>
      <x:c r="J382" t="n">
        <x:v>3</x:v>
      </x:c>
      <x:c r="K382" t="str">
        <x:f>IF(OR(H382="Pending",H382="Processing"),"Open",IF(I382&lt;=J382,"Yes","No"))</x:f>
        <x:v>No</x:v>
      </x:c>
      <x:c r="L382" t="str"/>
      <x:c r="M382" s="12" t="n">
        <x:v>46198</x:v>
      </x:c>
      <x:c r="N382" s="12" t="n">
        <x:v>46202</x:v>
      </x:c>
      <x:c r="O382" t="str">
        <x:v>No</x:v>
      </x:c>
      <x:c r="P382" t="str">
        <x:v>Standard</x:v>
      </x:c>
    </x:row>
    <x:row r="383">
      <x:c r="A383" t="str">
        <x:v>FIL-20260382</x:v>
      </x:c>
      <x:c r="B383" t="str">
        <x:v>Pioneer Analytics L.L.C.</x:v>
      </x:c>
      <x:c r="C383" t="str">
        <x:v>LLC</x:v>
      </x:c>
      <x:c r="D383" t="str">
        <x:v>Illinois</x:v>
      </x:c>
      <x:c r="E383" t="str">
        <x:v>LLC Formation</x:v>
      </x:c>
      <x:c r="F383" t="str">
        <x:v>Online</x:v>
      </x:c>
      <x:c r="G383" t="str">
        <x:v>Illinois Online Fulfillment</x:v>
      </x:c>
      <x:c r="H383" t="str">
        <x:v>Pending</x:v>
      </x:c>
      <x:c r="I383" t="n">
        <x:v>2</x:v>
      </x:c>
      <x:c r="J383" t="n">
        <x:v>3</x:v>
      </x:c>
      <x:c r="K383" t="str">
        <x:f>IF(OR(H383="Pending",H383="Processing"),"Open",IF(I383&lt;=J383,"Yes","No"))</x:f>
        <x:v>Open</x:v>
      </x:c>
      <x:c r="L383" t="str"/>
      <x:c r="M383" s="12" t="n">
        <x:v>46144</x:v>
      </x:c>
      <x:c r="N383" s="12"/>
      <x:c r="O383" t="str">
        <x:v>Yes</x:v>
      </x:c>
      <x:c r="P383" t="str">
        <x:v>Urgent</x:v>
      </x:c>
    </x:row>
    <x:row r="384">
      <x:c r="A384" t="str">
        <x:v>FIL-20260383</x:v>
      </x:c>
      <x:c r="B384" t="str">
        <x:v>NorthStar Properties L.L.C.</x:v>
      </x:c>
      <x:c r="C384" t="str">
        <x:v>LLC</x:v>
      </x:c>
      <x:c r="D384" t="str">
        <x:v>Florida</x:v>
      </x:c>
      <x:c r="E384" t="str">
        <x:v>Name Change Amendment</x:v>
      </x:c>
      <x:c r="F384" t="str">
        <x:v>Online</x:v>
      </x:c>
      <x:c r="G384" t="str">
        <x:v>Florida Online Fulfillment</x:v>
      </x:c>
      <x:c r="H384" t="str">
        <x:v>Completed</x:v>
      </x:c>
      <x:c r="I384" t="n">
        <x:v>6</x:v>
      </x:c>
      <x:c r="J384" t="n">
        <x:v>3</x:v>
      </x:c>
      <x:c r="K384" t="str">
        <x:f>IF(OR(H384="Pending",H384="Processing"),"Open",IF(I384&lt;=J384,"Yes","No"))</x:f>
        <x:v>No</x:v>
      </x:c>
      <x:c r="L384" t="str"/>
      <x:c r="M384" s="12" t="n">
        <x:v>46141</x:v>
      </x:c>
      <x:c r="N384" s="12" t="n">
        <x:v>46147</x:v>
      </x:c>
      <x:c r="O384" t="str">
        <x:v>No</x:v>
      </x:c>
      <x:c r="P384" t="str">
        <x:v>Standard</x:v>
      </x:c>
    </x:row>
    <x:row r="385">
      <x:c r="A385" t="str">
        <x:v>FIL-20260384</x:v>
      </x:c>
      <x:c r="B385" t="str">
        <x:v>Evergreen Consulting LP</x:v>
      </x:c>
      <x:c r="C385" t="str">
        <x:v>LP</x:v>
      </x:c>
      <x:c r="D385" t="str">
        <x:v>Florida</x:v>
      </x:c>
      <x:c r="E385" t="str">
        <x:v>Reinstatement</x:v>
      </x:c>
      <x:c r="F385" t="str">
        <x:v>Online</x:v>
      </x:c>
      <x:c r="G385" t="str">
        <x:v>Florida Online Fulfillment</x:v>
      </x:c>
      <x:c r="H385" t="str">
        <x:v>Pending</x:v>
      </x:c>
      <x:c r="I385" t="n">
        <x:v>4</x:v>
      </x:c>
      <x:c r="J385" t="n">
        <x:v>3</x:v>
      </x:c>
      <x:c r="K385" t="str">
        <x:f>IF(OR(H385="Pending",H385="Processing"),"Open",IF(I385&lt;=J385,"Yes","No"))</x:f>
        <x:v>Open</x:v>
      </x:c>
      <x:c r="L385" t="str"/>
      <x:c r="M385" s="12" t="n">
        <x:v>46110</x:v>
      </x:c>
      <x:c r="N385" s="12"/>
      <x:c r="O385" t="str">
        <x:v>No</x:v>
      </x:c>
      <x:c r="P385" t="str">
        <x:v>Standard</x:v>
      </x:c>
    </x:row>
    <x:row r="386">
      <x:c r="A386" t="str">
        <x:v>FIL-20260385</x:v>
      </x:c>
      <x:c r="B386" t="str">
        <x:v>Magnolia Healthcare Inc.</x:v>
      </x:c>
      <x:c r="C386" t="str">
        <x:v>Profit Corporation</x:v>
      </x:c>
      <x:c r="D386" t="str">
        <x:v>Texas</x:v>
      </x:c>
      <x:c r="E386" t="str">
        <x:v>Profit Corporation Formation</x:v>
      </x:c>
      <x:c r="F386" t="str">
        <x:v>Online</x:v>
      </x:c>
      <x:c r="G386" t="str">
        <x:v>Texas Filing Operations</x:v>
      </x:c>
      <x:c r="H386" t="str">
        <x:v>Completed</x:v>
      </x:c>
      <x:c r="I386" t="n">
        <x:v>6</x:v>
      </x:c>
      <x:c r="J386" t="n">
        <x:v>4</x:v>
      </x:c>
      <x:c r="K386" t="str">
        <x:f>IF(OR(H386="Pending",H386="Processing"),"Open",IF(I386&lt;=J386,"Yes","No"))</x:f>
        <x:v>No</x:v>
      </x:c>
      <x:c r="L386" t="str"/>
      <x:c r="M386" s="12" t="n">
        <x:v>46146</x:v>
      </x:c>
      <x:c r="N386" s="12" t="n">
        <x:v>46152</x:v>
      </x:c>
      <x:c r="O386" t="str">
        <x:v>No</x:v>
      </x:c>
      <x:c r="P386" t="str">
        <x:v>Standard</x:v>
      </x:c>
    </x:row>
    <x:row r="387">
      <x:c r="A387" t="str">
        <x:v>FIL-20260386</x:v>
      </x:c>
      <x:c r="B387" t="str">
        <x:v>Golden Coast Resources Institute Inc.</x:v>
      </x:c>
      <x:c r="C387" t="str">
        <x:v>Nonprofit Corporation</x:v>
      </x:c>
      <x:c r="D387" t="str">
        <x:v>New York</x:v>
      </x:c>
      <x:c r="E387" t="str">
        <x:v>Registered Agent Change</x:v>
      </x:c>
      <x:c r="F387" t="str">
        <x:v>Expedited</x:v>
      </x:c>
      <x:c r="G387" t="str">
        <x:v>Northeast Processing Team</x:v>
      </x:c>
      <x:c r="H387" t="str">
        <x:v>Completed</x:v>
      </x:c>
      <x:c r="I387" t="n">
        <x:v>1</x:v>
      </x:c>
      <x:c r="J387" t="n">
        <x:v>3</x:v>
      </x:c>
      <x:c r="K387" t="str">
        <x:f>IF(OR(H387="Pending",H387="Processing"),"Open",IF(I387&lt;=J387,"Yes","No"))</x:f>
        <x:v>Yes</x:v>
      </x:c>
      <x:c r="L387" t="str"/>
      <x:c r="M387" s="12" t="n">
        <x:v>46121</x:v>
      </x:c>
      <x:c r="N387" s="12" t="n">
        <x:v>46122</x:v>
      </x:c>
      <x:c r="O387" t="str">
        <x:v>Yes</x:v>
      </x:c>
      <x:c r="P387" t="str">
        <x:v>Standard</x:v>
      </x:c>
    </x:row>
    <x:row r="388">
      <x:c r="A388" t="str">
        <x:v>FIL-20260387</x:v>
      </x:c>
      <x:c r="B388" t="str">
        <x:v>First State Advisors Inc.</x:v>
      </x:c>
      <x:c r="C388" t="str">
        <x:v>Profit Corporation</x:v>
      </x:c>
      <x:c r="D388" t="str">
        <x:v>Virginia</x:v>
      </x:c>
      <x:c r="E388" t="str">
        <x:v>Certified Copy Request</x:v>
      </x:c>
      <x:c r="F388" t="str">
        <x:v>Online</x:v>
      </x:c>
      <x:c r="G388" t="str">
        <x:v>Virginia Processing Team</x:v>
      </x:c>
      <x:c r="H388" t="str">
        <x:v>Completed</x:v>
      </x:c>
      <x:c r="I388" t="n">
        <x:v>8</x:v>
      </x:c>
      <x:c r="J388" t="n">
        <x:v>4</x:v>
      </x:c>
      <x:c r="K388" t="str">
        <x:f>IF(OR(H388="Pending",H388="Processing"),"Open",IF(I388&lt;=J388,"Yes","No"))</x:f>
        <x:v>No</x:v>
      </x:c>
      <x:c r="L388" t="str"/>
      <x:c r="M388" s="12" t="n">
        <x:v>46116</x:v>
      </x:c>
      <x:c r="N388" s="12" t="n">
        <x:v>46124</x:v>
      </x:c>
      <x:c r="O388" t="str">
        <x:v>No</x:v>
      </x:c>
      <x:c r="P388" t="str">
        <x:v>Standard</x:v>
      </x:c>
    </x:row>
    <x:row r="389">
      <x:c r="A389" t="str">
        <x:v>FIL-20260388</x:v>
      </x:c>
      <x:c r="B389" t="str">
        <x:v>Capital Management LLP</x:v>
      </x:c>
      <x:c r="C389" t="str">
        <x:v>LLP</x:v>
      </x:c>
      <x:c r="D389" t="str">
        <x:v>Florida</x:v>
      </x:c>
      <x:c r="E389" t="str">
        <x:v>Limited Liability Partnership Registration</x:v>
      </x:c>
      <x:c r="F389" t="str">
        <x:v>OTC</x:v>
      </x:c>
      <x:c r="G389" t="str">
        <x:v>Florida OTC Fulfillment</x:v>
      </x:c>
      <x:c r="H389" t="str">
        <x:v>Processing</x:v>
      </x:c>
      <x:c r="I389" t="n">
        <x:v>4</x:v>
      </x:c>
      <x:c r="J389" t="n">
        <x:v>3</x:v>
      </x:c>
      <x:c r="K389" t="str">
        <x:f>IF(OR(H389="Pending",H389="Processing"),"Open",IF(I389&lt;=J389,"Yes","No"))</x:f>
        <x:v>Open</x:v>
      </x:c>
      <x:c r="L389" t="str"/>
      <x:c r="M389" s="12" t="n">
        <x:v>46174</x:v>
      </x:c>
      <x:c r="N389" s="12"/>
      <x:c r="O389" t="str">
        <x:v>No</x:v>
      </x:c>
      <x:c r="P389" t="str">
        <x:v>Standard</x:v>
      </x:c>
    </x:row>
    <x:row r="390">
      <x:c r="A390" t="str">
        <x:v>FIL-20260389</x:v>
      </x:c>
      <x:c r="B390" t="str">
        <x:v>Metro Management L.L.C.</x:v>
      </x:c>
      <x:c r="C390" t="str">
        <x:v>LLC</x:v>
      </x:c>
      <x:c r="D390" t="str">
        <x:v>Florida</x:v>
      </x:c>
      <x:c r="E390" t="str">
        <x:v>LLC Dissolution</x:v>
      </x:c>
      <x:c r="F390" t="str">
        <x:v>OTC</x:v>
      </x:c>
      <x:c r="G390" t="str">
        <x:v>Florida OTC Fulfillment</x:v>
      </x:c>
      <x:c r="H390" t="str">
        <x:v>Processing</x:v>
      </x:c>
      <x:c r="I390" t="n">
        <x:v>1</x:v>
      </x:c>
      <x:c r="J390" t="n">
        <x:v>3</x:v>
      </x:c>
      <x:c r="K390" t="str">
        <x:f>IF(OR(H390="Pending",H390="Processing"),"Open",IF(I390&lt;=J390,"Yes","No"))</x:f>
        <x:v>Open</x:v>
      </x:c>
      <x:c r="L390" t="str"/>
      <x:c r="M390" s="12" t="n">
        <x:v>46126</x:v>
      </x:c>
      <x:c r="N390" s="12"/>
      <x:c r="O390" t="str">
        <x:v>No</x:v>
      </x:c>
      <x:c r="P390" t="str">
        <x:v>Standard</x:v>
      </x:c>
    </x:row>
    <x:row r="391">
      <x:c r="A391" t="str">
        <x:v>FIL-20260390</x:v>
      </x:c>
      <x:c r="B391" t="str">
        <x:v>Pioneer Solutions Corp.</x:v>
      </x:c>
      <x:c r="C391" t="str">
        <x:v>Profit Corporation</x:v>
      </x:c>
      <x:c r="D391" t="str">
        <x:v>California</x:v>
      </x:c>
      <x:c r="E391" t="str">
        <x:v>Merger Filing</x:v>
      </x:c>
      <x:c r="F391" t="str">
        <x:v>Mail</x:v>
      </x:c>
      <x:c r="G391" t="str">
        <x:v>West Coast Processing Team</x:v>
      </x:c>
      <x:c r="H391" t="str">
        <x:v>Completed</x:v>
      </x:c>
      <x:c r="I391" t="n">
        <x:v>2</x:v>
      </x:c>
      <x:c r="J391" t="n">
        <x:v>7</x:v>
      </x:c>
      <x:c r="K391" t="str">
        <x:f>IF(OR(H391="Pending",H391="Processing"),"Open",IF(I391&lt;=J391,"Yes","No"))</x:f>
        <x:v>Yes</x:v>
      </x:c>
      <x:c r="L391" t="str"/>
      <x:c r="M391" s="12" t="n">
        <x:v>46145</x:v>
      </x:c>
      <x:c r="N391" s="12" t="n">
        <x:v>46147</x:v>
      </x:c>
      <x:c r="O391" t="str">
        <x:v>No</x:v>
      </x:c>
      <x:c r="P391" t="str">
        <x:v>High</x:v>
      </x:c>
    </x:row>
    <x:row r="392">
      <x:c r="A392" t="str">
        <x:v>FIL-20260391</x:v>
      </x:c>
      <x:c r="B392" t="str">
        <x:v>First State Healthcare L.L.C.</x:v>
      </x:c>
      <x:c r="C392" t="str">
        <x:v>LLC</x:v>
      </x:c>
      <x:c r="D392" t="str">
        <x:v>Florida</x:v>
      </x:c>
      <x:c r="E392" t="str">
        <x:v>LLC Amendment</x:v>
      </x:c>
      <x:c r="F392" t="str">
        <x:v>Online</x:v>
      </x:c>
      <x:c r="G392" t="str">
        <x:v>Florida Online Fulfillment</x:v>
      </x:c>
      <x:c r="H392" t="str">
        <x:v>Processing</x:v>
      </x:c>
      <x:c r="I392" t="n">
        <x:v>2</x:v>
      </x:c>
      <x:c r="J392" t="n">
        <x:v>3</x:v>
      </x:c>
      <x:c r="K392" t="str">
        <x:f>IF(OR(H392="Pending",H392="Processing"),"Open",IF(I392&lt;=J392,"Yes","No"))</x:f>
        <x:v>Open</x:v>
      </x:c>
      <x:c r="L392" t="str"/>
      <x:c r="M392" s="12" t="n">
        <x:v>46083</x:v>
      </x:c>
      <x:c r="N392" s="12"/>
      <x:c r="O392" t="str">
        <x:v>No</x:v>
      </x:c>
      <x:c r="P392" t="str">
        <x:v>Standard</x:v>
      </x:c>
    </x:row>
    <x:row r="393">
      <x:c r="A393" t="str">
        <x:v>FIL-20260392</x:v>
      </x:c>
      <x:c r="B393" t="str">
        <x:v>Blue Ridge Holdings Institute Inc.</x:v>
      </x:c>
      <x:c r="C393" t="str">
        <x:v>Nonprofit Corporation</x:v>
      </x:c>
      <x:c r="D393" t="str">
        <x:v>New York</x:v>
      </x:c>
      <x:c r="E393" t="str">
        <x:v>Nonprofit Corporation Formation</x:v>
      </x:c>
      <x:c r="F393" t="str">
        <x:v>Mail</x:v>
      </x:c>
      <x:c r="G393" t="str">
        <x:v>Northeast Processing Team</x:v>
      </x:c>
      <x:c r="H393" t="str">
        <x:v>Rejected</x:v>
      </x:c>
      <x:c r="I393" t="n">
        <x:v>9</x:v>
      </x:c>
      <x:c r="J393" t="n">
        <x:v>7</x:v>
      </x:c>
      <x:c r="K393" t="str">
        <x:f>IF(OR(H393="Pending",H393="Processing"),"Open",IF(I393&lt;=J393,"Yes","No"))</x:f>
        <x:v>No</x:v>
      </x:c>
      <x:c r="L393" t="str">
        <x:v>Incorrect Suffix</x:v>
      </x:c>
      <x:c r="M393" s="12" t="n">
        <x:v>46048</x:v>
      </x:c>
      <x:c r="N393" s="12"/>
      <x:c r="O393" t="str">
        <x:v>Yes</x:v>
      </x:c>
      <x:c r="P393" t="str">
        <x:v>High</x:v>
      </x:c>
    </x:row>
    <x:row r="394">
      <x:c r="A394" t="str">
        <x:v>FIL-20260393</x:v>
      </x:c>
      <x:c r="B394" t="str">
        <x:v>Evergreen Services L.L.P.</x:v>
      </x:c>
      <x:c r="C394" t="str">
        <x:v>LLP</x:v>
      </x:c>
      <x:c r="D394" t="str">
        <x:v>North Carolina</x:v>
      </x:c>
      <x:c r="E394" t="str">
        <x:v>Reinstatement</x:v>
      </x:c>
      <x:c r="F394" t="str">
        <x:v>Online</x:v>
      </x:c>
      <x:c r="G394" t="str">
        <x:v>North Carolina Processing Team</x:v>
      </x:c>
      <x:c r="H394" t="str">
        <x:v>Processing</x:v>
      </x:c>
      <x:c r="I394" t="n">
        <x:v>1</x:v>
      </x:c>
      <x:c r="J394" t="n">
        <x:v>4</x:v>
      </x:c>
      <x:c r="K394" t="str">
        <x:f>IF(OR(H394="Pending",H394="Processing"),"Open",IF(I394&lt;=J394,"Yes","No"))</x:f>
        <x:v>Open</x:v>
      </x:c>
      <x:c r="L394" t="str"/>
      <x:c r="M394" s="12" t="n">
        <x:v>46178</x:v>
      </x:c>
      <x:c r="N394" s="12"/>
      <x:c r="O394" t="str">
        <x:v>No</x:v>
      </x:c>
      <x:c r="P394" t="str">
        <x:v>Standard</x:v>
      </x:c>
    </x:row>
    <x:row r="395">
      <x:c r="A395" t="str">
        <x:v>FIL-20260394</x:v>
      </x:c>
      <x:c r="B395" t="str">
        <x:v>Metro Logistics Corp.</x:v>
      </x:c>
      <x:c r="C395" t="str">
        <x:v>Profit Corporation</x:v>
      </x:c>
      <x:c r="D395" t="str">
        <x:v>Illinois</x:v>
      </x:c>
      <x:c r="E395" t="str">
        <x:v>Corporation Amendment</x:v>
      </x:c>
      <x:c r="F395" t="str">
        <x:v>Expedited</x:v>
      </x:c>
      <x:c r="G395" t="str">
        <x:v>Illinois Fulfillment Team</x:v>
      </x:c>
      <x:c r="H395" t="str">
        <x:v>Returned</x:v>
      </x:c>
      <x:c r="I395" t="n">
        <x:v>5</x:v>
      </x:c>
      <x:c r="J395" t="n">
        <x:v>2</x:v>
      </x:c>
      <x:c r="K395" t="str">
        <x:f>IF(OR(H395="Pending",H395="Processing"),"Open",IF(I395&lt;=J395,"Yes","No"))</x:f>
        <x:v>No</x:v>
      </x:c>
      <x:c r="L395" t="str">
        <x:v>Incorrect Form Version</x:v>
      </x:c>
      <x:c r="M395" s="12" t="n">
        <x:v>46169</x:v>
      </x:c>
      <x:c r="N395" s="12"/>
      <x:c r="O395" t="str">
        <x:v>Yes</x:v>
      </x:c>
      <x:c r="P395" t="str">
        <x:v>Standard</x:v>
      </x:c>
    </x:row>
    <x:row r="396">
      <x:c r="A396" t="str">
        <x:v>FIL-20260395</x:v>
      </x:c>
      <x:c r="B396" t="str">
        <x:v>Sterling Logistics LLC</x:v>
      </x:c>
      <x:c r="C396" t="str">
        <x:v>LLC</x:v>
      </x:c>
      <x:c r="D396" t="str">
        <x:v>Washington D.C.</x:v>
      </x:c>
      <x:c r="E396" t="str">
        <x:v>Conversion Filing</x:v>
      </x:c>
      <x:c r="F396" t="str">
        <x:v>Expedited</x:v>
      </x:c>
      <x:c r="G396" t="str">
        <x:v>DC Compliance Team</x:v>
      </x:c>
      <x:c r="H396" t="str">
        <x:v>Pending</x:v>
      </x:c>
      <x:c r="I396" t="n">
        <x:v>1</x:v>
      </x:c>
      <x:c r="J396" t="n">
        <x:v>1</x:v>
      </x:c>
      <x:c r="K396" t="str">
        <x:f>IF(OR(H396="Pending",H396="Processing"),"Open",IF(I396&lt;=J396,"Yes","No"))</x:f>
        <x:v>Open</x:v>
      </x:c>
      <x:c r="L396" t="str"/>
      <x:c r="M396" s="12" t="n">
        <x:v>46071</x:v>
      </x:c>
      <x:c r="N396" s="12"/>
      <x:c r="O396" t="str">
        <x:v>Yes</x:v>
      </x:c>
      <x:c r="P396" t="str">
        <x:v>Standard</x:v>
      </x:c>
    </x:row>
    <x:row r="397">
      <x:c r="A397" t="str">
        <x:v>FIL-20260396</x:v>
      </x:c>
      <x:c r="B397" t="str">
        <x:v>Atlantic Technologies Corporation</x:v>
      </x:c>
      <x:c r="C397" t="str">
        <x:v>Profit Corporation</x:v>
      </x:c>
      <x:c r="D397" t="str">
        <x:v>Virginia</x:v>
      </x:c>
      <x:c r="E397" t="str">
        <x:v>Corporation Amendment</x:v>
      </x:c>
      <x:c r="F397" t="str">
        <x:v>Online</x:v>
      </x:c>
      <x:c r="G397" t="str">
        <x:v>Virginia Processing Team</x:v>
      </x:c>
      <x:c r="H397" t="str">
        <x:v>Completed</x:v>
      </x:c>
      <x:c r="I397" t="n">
        <x:v>5</x:v>
      </x:c>
      <x:c r="J397" t="n">
        <x:v>4</x:v>
      </x:c>
      <x:c r="K397" t="str">
        <x:f>IF(OR(H397="Pending",H397="Processing"),"Open",IF(I397&lt;=J397,"Yes","No"))</x:f>
        <x:v>No</x:v>
      </x:c>
      <x:c r="L397" t="str"/>
      <x:c r="M397" s="12" t="n">
        <x:v>46139</x:v>
      </x:c>
      <x:c r="N397" s="12" t="n">
        <x:v>46144</x:v>
      </x:c>
      <x:c r="O397" t="str">
        <x:v>No</x:v>
      </x:c>
      <x:c r="P397" t="str">
        <x:v>High</x:v>
      </x:c>
    </x:row>
    <x:row r="398">
      <x:c r="A398" t="str">
        <x:v>FIL-20260397</x:v>
      </x:c>
      <x:c r="B398" t="str">
        <x:v>Crescent Advisors</x:v>
      </x:c>
      <x:c r="C398" t="str">
        <x:v>Fictitious Name</x:v>
      </x:c>
      <x:c r="D398" t="str">
        <x:v>Georgia</x:v>
      </x:c>
      <x:c r="E398" t="str">
        <x:v>Fictitious Name Renewal</x:v>
      </x:c>
      <x:c r="F398" t="str">
        <x:v>Online</x:v>
      </x:c>
      <x:c r="G398" t="str">
        <x:v>Southeast Processing Team</x:v>
      </x:c>
      <x:c r="H398" t="str">
        <x:v>Rejected</x:v>
      </x:c>
      <x:c r="I398" t="n">
        <x:v>9</x:v>
      </x:c>
      <x:c r="J398" t="n">
        <x:v>4</x:v>
      </x:c>
      <x:c r="K398" t="str">
        <x:f>IF(OR(H398="Pending",H398="Processing"),"Open",IF(I398&lt;=J398,"Yes","No"))</x:f>
        <x:v>No</x:v>
      </x:c>
      <x:c r="L398" t="str">
        <x:v>Incorrect Entity Name</x:v>
      </x:c>
      <x:c r="M398" s="12" t="n">
        <x:v>46200</x:v>
      </x:c>
      <x:c r="N398" s="12"/>
      <x:c r="O398" t="str">
        <x:v>No</x:v>
      </x:c>
      <x:c r="P398" t="str">
        <x:v>Standard</x:v>
      </x:c>
    </x:row>
    <x:row r="399">
      <x:c r="A399" t="str">
        <x:v>FIL-20260398</x:v>
      </x:c>
      <x:c r="B399" t="str">
        <x:v>Pioneer Advisors LLC</x:v>
      </x:c>
      <x:c r="C399" t="str">
        <x:v>LLC</x:v>
      </x:c>
      <x:c r="D399" t="str">
        <x:v>Florida</x:v>
      </x:c>
      <x:c r="E399" t="str">
        <x:v>LLC Formation</x:v>
      </x:c>
      <x:c r="F399" t="str">
        <x:v>Online</x:v>
      </x:c>
      <x:c r="G399" t="str">
        <x:v>Florida Online Fulfillment</x:v>
      </x:c>
      <x:c r="H399" t="str">
        <x:v>Completed</x:v>
      </x:c>
      <x:c r="I399" t="n">
        <x:v>6</x:v>
      </x:c>
      <x:c r="J399" t="n">
        <x:v>3</x:v>
      </x:c>
      <x:c r="K399" t="str">
        <x:f>IF(OR(H399="Pending",H399="Processing"),"Open",IF(I399&lt;=J399,"Yes","No"))</x:f>
        <x:v>No</x:v>
      </x:c>
      <x:c r="L399" t="str"/>
      <x:c r="M399" s="12" t="n">
        <x:v>46073</x:v>
      </x:c>
      <x:c r="N399" s="12" t="n">
        <x:v>46079</x:v>
      </x:c>
      <x:c r="O399" t="str">
        <x:v>No</x:v>
      </x:c>
      <x:c r="P399" t="str">
        <x:v>Standard</x:v>
      </x:c>
    </x:row>
    <x:row r="400">
      <x:c r="A400" t="str">
        <x:v>FIL-20260399</x:v>
      </x:c>
      <x:c r="B400" t="str">
        <x:v>Metro Ventures L.L.P.</x:v>
      </x:c>
      <x:c r="C400" t="str">
        <x:v>LLP</x:v>
      </x:c>
      <x:c r="D400" t="str">
        <x:v>Florida</x:v>
      </x:c>
      <x:c r="E400" t="str">
        <x:v>Certified Copy Request</x:v>
      </x:c>
      <x:c r="F400" t="str">
        <x:v>Online</x:v>
      </x:c>
      <x:c r="G400" t="str">
        <x:v>Florida Online Fulfillment</x:v>
      </x:c>
      <x:c r="H400" t="str">
        <x:v>Completed</x:v>
      </x:c>
      <x:c r="I400" t="n">
        <x:v>4</x:v>
      </x:c>
      <x:c r="J400" t="n">
        <x:v>3</x:v>
      </x:c>
      <x:c r="K400" t="str">
        <x:f>IF(OR(H400="Pending",H400="Processing"),"Open",IF(I400&lt;=J400,"Yes","No"))</x:f>
        <x:v>No</x:v>
      </x:c>
      <x:c r="L400" t="str"/>
      <x:c r="M400" s="12" t="n">
        <x:v>46146</x:v>
      </x:c>
      <x:c r="N400" s="12" t="n">
        <x:v>46150</x:v>
      </x:c>
      <x:c r="O400" t="str">
        <x:v>No</x:v>
      </x:c>
      <x:c r="P400" t="str">
        <x:v>Standard</x:v>
      </x:c>
    </x:row>
    <x:row r="401">
      <x:c r="A401" t="str">
        <x:v>FIL-20260400</x:v>
      </x:c>
      <x:c r="B401" t="str">
        <x:v>NorthStar Technologies L.L.C.</x:v>
      </x:c>
      <x:c r="C401" t="str">
        <x:v>LLC</x:v>
      </x:c>
      <x:c r="D401" t="str">
        <x:v>Illinois</x:v>
      </x:c>
      <x:c r="E401" t="str">
        <x:v>Foreign LLC Qualification</x:v>
      </x:c>
      <x:c r="F401" t="str">
        <x:v>Online</x:v>
      </x:c>
      <x:c r="G401" t="str">
        <x:v>Illinois Online Fulfillment</x:v>
      </x:c>
      <x:c r="H401" t="str">
        <x:v>Completed</x:v>
      </x:c>
      <x:c r="I401" t="n">
        <x:v>8</x:v>
      </x:c>
      <x:c r="J401" t="n">
        <x:v>4</x:v>
      </x:c>
      <x:c r="K401" t="str">
        <x:f>IF(OR(H401="Pending",H401="Processing"),"Open",IF(I401&lt;=J401,"Yes","No"))</x:f>
        <x:v>No</x:v>
      </x:c>
      <x:c r="L401" t="str"/>
      <x:c r="M401" s="12" t="n">
        <x:v>46062</x:v>
      </x:c>
      <x:c r="N401" s="12" t="n">
        <x:v>46070</x:v>
      </x:c>
      <x:c r="O401" t="str">
        <x:v>Yes</x:v>
      </x:c>
      <x:c r="P401" t="str">
        <x:v>Standard</x:v>
      </x:c>
    </x:row>
  </x:sheetData>
  <x:conditionalFormatting sqref="K2:K401">
    <x:cfRule type="expression" dxfId="0" priority="1">
      <x:formula>$K2="No"</x:formula>
    </x:cfRule>
    <x:cfRule type="expression" dxfId="1" priority="2">
      <x:formula>$K2="Yes"</x:formula>
    </x:cfRule>
    <x:cfRule type="expression" dxfId="2" priority="3">
      <x:formula>$K2="Open"</x:formula>
    </x:cfRule>
  </x:conditionalFormatting>
  <x:conditionalFormatting sqref="H2:H401">
    <x:cfRule type="expression" dxfId="3" priority="4">
      <x:formula>$H2="Rejected"</x:formula>
    </x:cfRule>
    <x:cfRule type="expression" dxfId="4" priority="5">
      <x:formula>$H2="Returned"</x:formula>
    </x:cfRule>
    <x:cfRule type="expression" dxfId="5" priority="6">
      <x:formula>$H2="Completed"</x:formula>
    </x:cfRule>
  </x:conditionalFormatting>
  <x:dataValidations count="3">
    <x:dataValidation type="list" sqref="H2:H401">
      <x:formula1>"Completed,Processing,Pending,Rejected,Returned"</x:formula1>
    </x:dataValidation>
    <x:dataValidation type="list" sqref="F2:F401">
      <x:formula1>"OTC,Online,Mail,Expedited"</x:formula1>
    </x:dataValidation>
    <x:dataValidation type="list" sqref="P2:P401">
      <x:formula1>"Standard,High,Urgent"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49e8a50062454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4.73999786376953" hidden="0" customWidth="1"/>
    <x:col min="2" max="2" width="64.73999786376953" hidden="0" customWidth="1"/>
    <x:col min="3" max="3" width="64.73999786376953" hidden="0" customWidth="1"/>
    <x:col min="4" max="4" width="64.73999786376953" hidden="0" customWidth="1"/>
    <x:col min="5" max="5" width="64.73999786376953" hidden="0" customWidth="1"/>
  </x:cols>
  <x:sheetData>
    <x:row r="1" ht="28" customHeight="1">
      <x:c r="A1" s="17" t="str">
        <x:v>Business Filing Operations Dataset — Dashboard Input</x:v>
      </x:c>
      <x:c r="B1" s="17" t="str">
        <x:v>Business Filing Operations Dataset — Dashboard Input</x:v>
      </x:c>
      <x:c r="C1" s="17" t="str">
        <x:v>Business Filing Operations Dataset — Dashboard Input</x:v>
      </x:c>
      <x:c r="D1" s="17" t="str">
        <x:v>Business Filing Operations Dataset — Dashboard Input</x:v>
      </x:c>
      <x:c r="E1" s="17" t="str">
        <x:v>Business Filing Operations Dataset — Dashboard Input</x:v>
      </x:c>
      <x:c r="F1" s="17" t="str">
        <x:v>Business Filing Operations Dataset — Dashboard Input</x:v>
      </x:c>
      <x:c r="G1" s="17" t="str">
        <x:v>Business Filing Operations Dataset — Dashboard Input</x:v>
      </x:c>
      <x:c r="H1" s="17" t="str">
        <x:v>Business Filing Operations Dataset — Dashboard Input</x:v>
      </x:c>
    </x:row>
    <x:row r="3">
      <x:c r="A3" s="6" t="str">
        <x:v>Metric</x:v>
      </x:c>
      <x:c r="B3" s="6" t="str">
        <x:v>Formula / Value</x:v>
      </x:c>
      <x:c r="D3" s="6" t="str">
        <x:v>Filing Type</x:v>
      </x:c>
      <x:c r="E3" s="6" t="str">
        <x:v>Count</x:v>
      </x:c>
    </x:row>
    <x:row r="4">
      <x:c r="A4" s="26" t="str">
        <x:v>Total Filings</x:v>
      </x:c>
      <x:c r="B4" s="22" t="n">
        <x:f>COUNTA(Filing_Operations_Data!A2:A401)</x:f>
        <x:v>400</x:v>
      </x:c>
      <x:c r="D4" t="str">
        <x:v>LLC Formation</x:v>
      </x:c>
      <x:c r="E4" t="n">
        <x:f>COUNTIF(Filing_Operations_Data!E2:E401,D4)</x:f>
        <x:v>26</x:v>
      </x:c>
    </x:row>
    <x:row r="5">
      <x:c r="A5" s="26" t="str">
        <x:v>Completed Filings</x:v>
      </x:c>
      <x:c r="B5" s="22" t="n">
        <x:f>COUNTIF(Filing_Operations_Data!H2:H401,"Completed")</x:f>
        <x:v>248</x:v>
      </x:c>
      <x:c r="D5" t="str">
        <x:v>Profit Corporation Formation</x:v>
      </x:c>
      <x:c r="E5" t="n">
        <x:f>COUNTIF(Filing_Operations_Data!E2:E401,D5)</x:f>
        <x:v>24</x:v>
      </x:c>
    </x:row>
    <x:row r="6">
      <x:c r="A6" s="26" t="str">
        <x:v>Open Filings</x:v>
      </x:c>
      <x:c r="B6" s="22" t="n">
        <x:f>COUNTIF(Filing_Operations_Data!K2:K401,"Open")</x:f>
        <x:v>108</x:v>
      </x:c>
      <x:c r="D6" t="str">
        <x:v>Foreign LLC Qualification</x:v>
      </x:c>
      <x:c r="E6" t="n">
        <x:f>COUNTIF(Filing_Operations_Data!E2:E401,D6)</x:f>
        <x:v>26</x:v>
      </x:c>
    </x:row>
    <x:row r="7">
      <x:c r="A7" s="26" t="str">
        <x:v>Rejected / Returned</x:v>
      </x:c>
      <x:c r="B7" s="22" t="n">
        <x:f>COUNTIF(Filing_Operations_Data!H2:H401,"Rejected")+COUNTIF(Filing_Operations_Data!H2:H401,"Returned")</x:f>
        <x:v>44</x:v>
      </x:c>
      <x:c r="D7" t="str">
        <x:v>Annual Report</x:v>
      </x:c>
      <x:c r="E7" t="n">
        <x:f>COUNTIF(Filing_Operations_Data!E2:E401,D7)</x:f>
        <x:v>32</x:v>
      </x:c>
    </x:row>
    <x:row r="8">
      <x:c r="A8" s="26" t="str">
        <x:v>Average Processing Days</x:v>
      </x:c>
      <x:c r="B8" s="23" t="n">
        <x:f>AVERAGE(Filing_Operations_Data!I2:I401)</x:f>
        <x:v>4.3575</x:v>
      </x:c>
      <x:c r="D8" t="str">
        <x:v>LLC Amendment</x:v>
      </x:c>
      <x:c r="E8" t="n">
        <x:f>COUNTIF(Filing_Operations_Data!E2:E401,D8)</x:f>
        <x:v>24</x:v>
      </x:c>
    </x:row>
    <x:row r="9">
      <x:c r="A9" s="26" t="str">
        <x:v>SLA Met %</x:v>
      </x:c>
      <x:c r="B9" s="22" t="n">
        <x:f>COUNTIF(Filing_Operations_Data!K2:K401,"Yes")/(COUNTIF(Filing_Operations_Data!K2:K401,"Yes")+COUNTIF(Filing_Operations_Data!K2:K401,"No"))</x:f>
        <x:v>0.4691780821917808</x:v>
      </x:c>
      <x:c r="D9" t="str">
        <x:v>Registered Agent Change</x:v>
      </x:c>
      <x:c r="E9" t="n">
        <x:f>COUNTIF(Filing_Operations_Data!E2:E401,D9)</x:f>
        <x:v>15</x:v>
      </x:c>
    </x:row>
    <x:row r="10">
      <x:c r="A10" s="26" t="str">
        <x:v>Online Fulfillment Volume</x:v>
      </x:c>
      <x:c r="B10" s="22" t="n">
        <x:f>COUNTIF(Filing_Operations_Data!F2:F401,"Online")</x:f>
        <x:v>187</x:v>
      </x:c>
      <x:c r="D10" t="str">
        <x:v>Certificate of Status Request</x:v>
      </x:c>
      <x:c r="E10" t="n">
        <x:f>COUNTIF(Filing_Operations_Data!E2:E401,D10)</x:f>
        <x:v>14</x:v>
      </x:c>
    </x:row>
    <x:row r="11">
      <x:c r="A11" s="26" t="str">
        <x:v>OTC Volume</x:v>
      </x:c>
      <x:c r="B11" s="22" t="n">
        <x:f>COUNTIF(Filing_Operations_Data!F2:F401,"OTC")</x:f>
        <x:v>47</x:v>
      </x:c>
      <x:c r="D11" t="str">
        <x:v>Certified Copy Request</x:v>
      </x:c>
      <x:c r="E11" t="n">
        <x:f>COUNTIF(Filing_Operations_Data!E2:E401,D11)</x:f>
        <x:v>8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.479999542236328" hidden="0" customWidth="1"/>
    <x:col min="2" max="2" width="48.18000030517578" hidden="0" customWidth="1"/>
    <x:col min="3" max="3" width="103.5" hidden="0" customWidth="1"/>
  </x:cols>
  <x:sheetData>
    <x:row r="1" ht="24" customHeight="1">
      <x:c r="A1" s="6" t="str">
        <x:v>Column</x:v>
      </x:c>
      <x:c r="B1" s="6" t="str">
        <x:v>Description</x:v>
      </x:c>
      <x:c r="C1" s="6" t="str">
        <x:v>Example / Notes</x:v>
      </x:c>
    </x:row>
    <x:row r="2">
      <x:c r="A2" t="str">
        <x:v>FilingID</x:v>
      </x:c>
      <x:c r="B2" t="str">
        <x:v>Unique simulated filing record ID</x:v>
      </x:c>
      <x:c r="C2" t="str">
        <x:v>FIL-20260001</x:v>
      </x:c>
    </x:row>
    <x:row r="3">
      <x:c r="A3" t="str">
        <x:v>EntityName</x:v>
      </x:c>
      <x:c r="B3" t="str">
        <x:v>Fictional entity name generated for portfolio use</x:v>
      </x:c>
      <x:c r="C3" t="str">
        <x:v>No real client/company data</x:v>
      </x:c>
    </x:row>
    <x:row r="4">
      <x:c r="A4" t="str">
        <x:v>EntityType</x:v>
      </x:c>
      <x:c r="B4" t="str">
        <x:v>Business structure associated with the filing</x:v>
      </x:c>
      <x:c r="C4" t="str">
        <x:v>LLC, PLLC, LP, LLP, Profit Corporation, Nonprofit Corporation</x:v>
      </x:c>
    </x:row>
    <x:row r="5">
      <x:c r="A5" t="str">
        <x:v>State</x:v>
      </x:c>
      <x:c r="B5" t="str">
        <x:v>State/jurisdiction used for simulated operations analytics</x:v>
      </x:c>
      <x:c r="C5" t="str">
        <x:v>Includes Florida and other realistic jurisdictions</x:v>
      </x:c>
    </x:row>
    <x:row r="6">
      <x:c r="A6" t="str">
        <x:v>FilingType</x:v>
      </x:c>
      <x:c r="B6" t="str">
        <x:v>Specific business filing or service request</x:v>
      </x:c>
      <x:c r="C6" t="str">
        <x:v>Formation, Qualification, Amendment, Annual Report, Conversion, Merger, Domestication, Withdrawal, Certificate, Certified Copy</x:v>
      </x:c>
    </x:row>
    <x:row r="7">
      <x:c r="A7" t="str">
        <x:v>SubmissionMethod</x:v>
      </x:c>
      <x:c r="B7" t="str">
        <x:v>How the filing was submitted</x:v>
      </x:c>
      <x:c r="C7" t="str">
        <x:v>OTC, Online, Mail, Expedited</x:v>
      </x:c>
    </x:row>
    <x:row r="8">
      <x:c r="A8" t="str">
        <x:v>ProcessingTeam</x:v>
      </x:c>
      <x:c r="B8" t="str">
        <x:v>Generalized team name</x:v>
      </x:c>
      <x:c r="C8" t="str">
        <x:v>No employee/coworker names included</x:v>
      </x:c>
    </x:row>
    <x:row r="9">
      <x:c r="A9" t="str">
        <x:v>Status</x:v>
      </x:c>
      <x:c r="B9" t="str">
        <x:v>Current or final filing status</x:v>
      </x:c>
      <x:c r="C9" t="str">
        <x:v>Completed, Processing, Pending, Rejected, Returned</x:v>
      </x:c>
    </x:row>
    <x:row r="10">
      <x:c r="A10" t="str">
        <x:v>ProcessingDays</x:v>
      </x:c>
      <x:c r="B10" t="str">
        <x:v>Simulated number of business days in processing</x:v>
      </x:c>
      <x:c r="C10" t="str">
        <x:v>Used for Power BI turnaround analysis</x:v>
      </x:c>
    </x:row>
    <x:row r="11">
      <x:c r="A11" t="str">
        <x:v>SLADays</x:v>
      </x:c>
      <x:c r="B11" t="str">
        <x:v>Target processing days for service-level tracking</x:v>
      </x:c>
      <x:c r="C11" t="str">
        <x:v>Varies by state/submission method</x:v>
      </x:c>
    </x:row>
    <x:row r="12">
      <x:c r="A12" t="str">
        <x:v>SLAMet</x:v>
      </x:c>
      <x:c r="B12" t="str">
        <x:v>Formula-driven SLA outcome</x:v>
      </x:c>
      <x:c r="C12" t="str">
        <x:v>Yes, No, Open</x:v>
      </x:c>
    </x:row>
    <x:row r="13">
      <x:c r="A13" t="str">
        <x:v>RejectionReason</x:v>
      </x:c>
      <x:c r="B13" t="str">
        <x:v>Generalized reason when a filing is rejected/returned</x:v>
      </x:c>
      <x:c r="C13" t="str">
        <x:v>Only populated for Rejected/Returned statuses</x:v>
      </x:c>
    </x:row>
    <x:row r="14">
      <x:c r="A14" t="str">
        <x:v>FilingDate</x:v>
      </x:c>
      <x:c r="B14" t="str">
        <x:v>Simulated filing submission date</x:v>
      </x:c>
      <x:c r="C14" t="str">
        <x:v>Date field</x:v>
      </x:c>
    </x:row>
    <x:row r="15">
      <x:c r="A15" t="str">
        <x:v>CompletionDate</x:v>
      </x:c>
      <x:c r="B15" t="str">
        <x:v>Completion date for completed filings</x:v>
      </x:c>
      <x:c r="C15" t="str">
        <x:v>Blank for open/rejected records</x:v>
      </x:c>
    </x:row>
    <x:row r="16">
      <x:c r="A16" t="str">
        <x:v>RushEligible</x:v>
      </x:c>
      <x:c r="B16" t="str">
        <x:v>Whether expedited/rush processing is modeled for the state</x:v>
      </x:c>
      <x:c r="C16" t="str">
        <x:v>Yes/No</x:v>
      </x:c>
    </x:row>
    <x:row r="17">
      <x:c r="A17" t="str">
        <x:v>PriorityLevel</x:v>
      </x:c>
      <x:c r="B17" t="str">
        <x:v>Simulated internal priority level</x:v>
      </x:c>
      <x:c r="C17" t="str">
        <x:v>Standard, High, Urgent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.149999618530273" hidden="0" customWidth="1"/>
    <x:col min="2" max="2" width="133.9199981689453" hidden="0" customWidth="1"/>
    <x:col min="3" max="3" width="20.31999969482422" hidden="0" customWidth="1"/>
  </x:cols>
  <x:sheetData>
    <x:row r="1" ht="24" customHeight="1">
      <x:c r="A1" s="6" t="str">
        <x:v>Source</x:v>
      </x:c>
      <x:c r="B1" s="6" t="str">
        <x:v>Use in Dataset</x:v>
      </x:c>
      <x:c r="C1" s="6" t="str">
        <x:v>URL</x:v>
      </x:c>
    </x:row>
    <x:row r="2">
      <x:c r="A2" t="str">
        <x:v>Florida Department of State — Sunbiz</x:v>
      </x:c>
      <x:c r="B2" t="str">
        <x:v>Used as public reference for business entity services and filing scope</x:v>
      </x:c>
      <x:c r="C2" t="str">
        <x:v>https://dos.fl.gov/sunbiz/</x:v>
      </x:c>
    </x:row>
    <x:row r="3">
      <x:c r="A3" t="str">
        <x:v>Florida Sunbiz Filing Services menu</x:v>
      </x:c>
      <x:c r="B3" t="str">
        <x:v>Reference for annual reports, new LLCs, profit/non-profit corporations, limited partnerships, dissolutions/withdrawals, certificates, certified copies, and fictitious names</x:v>
      </x:c>
      <x:c r="C3" t="str">
        <x:v>https://dos.fl.gov/sunbiz/</x:v>
      </x:c>
    </x:row>
    <x:row r="4">
      <x:c r="A4" t="str">
        <x:v>Confidentiality Note</x:v>
      </x:c>
      <x:c r="B4" t="str">
        <x:v>All entity names, records, teams, dates, and metrics are simulated/generalized for portfolio use</x:v>
      </x:c>
      <x:c r="C4" t="str">
        <x:v>N/A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.979999542236328" hidden="0" customWidth="1"/>
    <x:col min="2" max="2" width="40.380001068115234" hidden="0" customWidth="1"/>
    <x:col min="3" max="3" width="47.63999938964844" hidden="0" customWidth="1"/>
    <x:col min="4" max="4" width="32.439998626708984" hidden="0" customWidth="1"/>
  </x:cols>
  <x:sheetData>
    <x:row r="1">
      <x:c r="A1" s="29" t="str">
        <x:v>Power BI Build Guide</x:v>
      </x:c>
      <x:c r="B1" s="29" t="str"/>
      <x:c r="C1" s="29" t="str"/>
      <x:c r="D1" s="29" t="str"/>
    </x:row>
    <x:row r="3">
      <x:c r="A3" s="6" t="str">
        <x:v>Recommended Dashboard Page</x:v>
      </x:c>
      <x:c r="B3" s="6" t="str">
        <x:v>Visuals / KPIs</x:v>
      </x:c>
      <x:c r="C3" s="6" t="str">
        <x:v>Suggested Fields</x:v>
      </x:c>
      <x:c r="D3" s="6" t="str">
        <x:v>Notes</x:v>
      </x:c>
    </x:row>
    <x:row r="4">
      <x:c r="A4" t="str">
        <x:v>Executive Overview</x:v>
      </x:c>
      <x:c r="B4" t="str">
        <x:v>Cards, bar chart, line chart</x:v>
      </x:c>
      <x:c r="C4" t="str">
        <x:v>Total Filings, Avg ProcessingDays, SLA Met %, Rejection Rate</x:v>
      </x:c>
      <x:c r="D4" t="str">
        <x:v>Start here for portfolio screenshots</x:v>
      </x:c>
    </x:row>
    <x:row r="5">
      <x:c r="A5" t="str">
        <x:v>Operations Analytics</x:v>
      </x:c>
      <x:c r="B5" t="str">
        <x:v>Stacked bars, slicers, matrix</x:v>
      </x:c>
      <x:c r="C5" t="str">
        <x:v>State, SubmissionMethod, ProcessingTeam, Status</x:v>
      </x:c>
      <x:c r="D5" t="str">
        <x:v>Show OTC vs Online and state workload</x:v>
      </x:c>
    </x:row>
    <x:row r="6">
      <x:c r="A6" t="str">
        <x:v>Rejection Trends</x:v>
      </x:c>
      <x:c r="B6" t="str">
        <x:v>Bar chart, table, trend line</x:v>
      </x:c>
      <x:c r="C6" t="str">
        <x:v>RejectionReason, FilingType, State, FilingDate</x:v>
      </x:c>
      <x:c r="D6" t="str">
        <x:v>Only include Rejected/Returned statuses</x:v>
      </x:c>
    </x:row>
    <x:row r="7">
      <x:c r="A7" t="str">
        <x:v>Power BI Measures</x:v>
      </x:c>
      <x:c r="B7" t="str">
        <x:v>Total Filings = COUNTROWS(FilingOperationsTable)</x:v>
      </x:c>
      <x:c r="C7" t="str">
        <x:v>SLA Met % = DIVIDE([SLA Met Count],[Closed Filing Count])</x:v>
      </x:c>
      <x:c r="D7" t="str">
        <x:v>Add DAX measures in report</x:v>
      </x:c>
    </x:row>
  </x:sheetData>
  <x:mergeCells>
    <x:mergeCell ref="A1:D1"/>
  </x:mergeCells>
  <x:pageMargins left="0.7" right="0.7" top="0.75" bottom="0.75" header="0.3" footer="0.3"/>
</x:worksheet>
</file>